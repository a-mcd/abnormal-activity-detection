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lisonmcdowell/Projects/com748/beta_dst/Attempts/Attempt3/"/>
    </mc:Choice>
  </mc:AlternateContent>
  <xr:revisionPtr revIDLastSave="0" documentId="13_ncr:9_{4DCE0379-AA9F-1241-8DF9-E97E4C93E402}" xr6:coauthVersionLast="47" xr6:coauthVersionMax="47" xr10:uidLastSave="{00000000-0000-0000-0000-000000000000}"/>
  <bookViews>
    <workbookView xWindow="39660" yWindow="6320" windowWidth="33600" windowHeight="18800" activeTab="5" xr2:uid="{3F51B729-7282-BD44-BC82-F7A1310B5B1D}"/>
  </bookViews>
  <sheets>
    <sheet name="Activity_Counts" sheetId="1" r:id="rId1"/>
    <sheet name="t5-sensor-belief-values" sheetId="6" r:id="rId2"/>
    <sheet name="t4-sensor-belief-values" sheetId="5" r:id="rId3"/>
    <sheet name="t3-sensor-belief-values" sheetId="4" r:id="rId4"/>
    <sheet name="t2-sensor-belief-values" sheetId="3" r:id="rId5"/>
    <sheet name="t1-sensor-belief-values" sheetId="2" r:id="rId6"/>
  </sheets>
  <definedNames>
    <definedName name="_xlnm._FilterDatabase" localSheetId="0" hidden="1">Activity_Counts!$A$1:$R$57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63" i="4" l="1"/>
  <c r="E63" i="4"/>
  <c r="E64" i="4"/>
  <c r="D65" i="4"/>
  <c r="H3" i="1"/>
  <c r="M3" i="1" s="1"/>
  <c r="H4" i="1"/>
  <c r="M4" i="1" s="1"/>
  <c r="H5" i="1"/>
  <c r="H6" i="1"/>
  <c r="H7" i="1"/>
  <c r="H8" i="1"/>
  <c r="N8" i="1" s="1"/>
  <c r="C8" i="6" s="1"/>
  <c r="H9" i="1"/>
  <c r="H10" i="1"/>
  <c r="M10" i="1" s="1"/>
  <c r="H11" i="1"/>
  <c r="M11" i="1" s="1"/>
  <c r="H12" i="1"/>
  <c r="H13" i="1"/>
  <c r="H14" i="1"/>
  <c r="H15" i="1"/>
  <c r="N15" i="1" s="1"/>
  <c r="H16" i="1"/>
  <c r="N16" i="1" s="1"/>
  <c r="C16" i="6" s="1"/>
  <c r="H17" i="1"/>
  <c r="H18" i="1"/>
  <c r="M18" i="1" s="1"/>
  <c r="H19" i="1"/>
  <c r="M19" i="1" s="1"/>
  <c r="H20" i="1"/>
  <c r="H21" i="1"/>
  <c r="M21" i="1" s="1"/>
  <c r="C21" i="5" s="1"/>
  <c r="H22" i="1"/>
  <c r="H23" i="1"/>
  <c r="H24" i="1"/>
  <c r="N24" i="1" s="1"/>
  <c r="C24" i="6" s="1"/>
  <c r="H25" i="1"/>
  <c r="H26" i="1"/>
  <c r="H27" i="1"/>
  <c r="M27" i="1" s="1"/>
  <c r="H28" i="1"/>
  <c r="H29" i="1"/>
  <c r="H30" i="1"/>
  <c r="H31" i="1"/>
  <c r="L31" i="1" s="1"/>
  <c r="H32" i="1"/>
  <c r="N32" i="1" s="1"/>
  <c r="C32" i="6" s="1"/>
  <c r="H33" i="1"/>
  <c r="H34" i="1"/>
  <c r="H35" i="1"/>
  <c r="N35" i="1" s="1"/>
  <c r="H36" i="1"/>
  <c r="H37" i="1"/>
  <c r="M37" i="1" s="1"/>
  <c r="H38" i="1"/>
  <c r="H39" i="1"/>
  <c r="L39" i="1" s="1"/>
  <c r="H40" i="1"/>
  <c r="N40" i="1" s="1"/>
  <c r="H41" i="1"/>
  <c r="H42" i="1"/>
  <c r="H43" i="1"/>
  <c r="N43" i="1" s="1"/>
  <c r="H44" i="1"/>
  <c r="H45" i="1"/>
  <c r="M45" i="1" s="1"/>
  <c r="H46" i="1"/>
  <c r="H47" i="1"/>
  <c r="L47" i="1" s="1"/>
  <c r="H48" i="1"/>
  <c r="N48" i="1" s="1"/>
  <c r="C48" i="6" s="1"/>
  <c r="H49" i="1"/>
  <c r="H50" i="1"/>
  <c r="H51" i="1"/>
  <c r="J51" i="1" s="1"/>
  <c r="H52" i="1"/>
  <c r="M52" i="1" s="1"/>
  <c r="H53" i="1"/>
  <c r="M53" i="1" s="1"/>
  <c r="H54" i="1"/>
  <c r="H55" i="1"/>
  <c r="L55" i="1" s="1"/>
  <c r="H56" i="1"/>
  <c r="N56" i="1" s="1"/>
  <c r="C56" i="6" s="1"/>
  <c r="H57" i="1"/>
  <c r="H58" i="1"/>
  <c r="H59" i="1"/>
  <c r="H60" i="1"/>
  <c r="M60" i="1" s="1"/>
  <c r="H61" i="1"/>
  <c r="N61" i="1" s="1"/>
  <c r="H62" i="1"/>
  <c r="E63" i="5" l="1"/>
  <c r="E64" i="2"/>
  <c r="E63" i="2"/>
  <c r="M15" i="1"/>
  <c r="D66" i="4"/>
  <c r="D64" i="4"/>
  <c r="D64" i="5"/>
  <c r="E64" i="5"/>
  <c r="C64" i="5"/>
  <c r="E63" i="3"/>
  <c r="C63" i="3"/>
  <c r="D63" i="3"/>
  <c r="D65" i="2"/>
  <c r="C65" i="2"/>
  <c r="E65" i="2"/>
  <c r="D67" i="4"/>
  <c r="E67" i="4"/>
  <c r="C67" i="4"/>
  <c r="D63" i="2"/>
  <c r="C65" i="4"/>
  <c r="C64" i="4"/>
  <c r="C64" i="2"/>
  <c r="C63" i="5"/>
  <c r="C63" i="4"/>
  <c r="F63" i="4" s="1"/>
  <c r="E65" i="4"/>
  <c r="C63" i="2"/>
  <c r="D63" i="5"/>
  <c r="C66" i="4"/>
  <c r="M16" i="1"/>
  <c r="E16" i="5" s="1"/>
  <c r="K38" i="1"/>
  <c r="L14" i="1"/>
  <c r="C14" i="4" s="1"/>
  <c r="J22" i="1"/>
  <c r="K14" i="1"/>
  <c r="L22" i="1"/>
  <c r="D22" i="4" s="1"/>
  <c r="J47" i="1"/>
  <c r="N46" i="1"/>
  <c r="E46" i="6" s="1"/>
  <c r="J16" i="1"/>
  <c r="J46" i="1"/>
  <c r="D46" i="2" s="1"/>
  <c r="K32" i="1"/>
  <c r="C32" i="3" s="1"/>
  <c r="N39" i="1"/>
  <c r="E39" i="6" s="1"/>
  <c r="J15" i="1"/>
  <c r="K55" i="1"/>
  <c r="K31" i="1"/>
  <c r="K7" i="1"/>
  <c r="L7" i="1"/>
  <c r="M14" i="1"/>
  <c r="N31" i="1"/>
  <c r="E31" i="6" s="1"/>
  <c r="J39" i="1"/>
  <c r="J14" i="1"/>
  <c r="K54" i="1"/>
  <c r="K30" i="1"/>
  <c r="L62" i="1"/>
  <c r="M38" i="1"/>
  <c r="N30" i="1"/>
  <c r="E30" i="6" s="1"/>
  <c r="J35" i="1"/>
  <c r="D35" i="2" s="1"/>
  <c r="J8" i="1"/>
  <c r="K48" i="1"/>
  <c r="D48" i="3" s="1"/>
  <c r="K23" i="1"/>
  <c r="L51" i="1"/>
  <c r="M35" i="1"/>
  <c r="C35" i="5" s="1"/>
  <c r="M7" i="1"/>
  <c r="D7" i="5" s="1"/>
  <c r="N23" i="1"/>
  <c r="E23" i="6" s="1"/>
  <c r="J32" i="1"/>
  <c r="D32" i="2" s="1"/>
  <c r="K47" i="1"/>
  <c r="K22" i="1"/>
  <c r="L46" i="1"/>
  <c r="D46" i="4" s="1"/>
  <c r="M31" i="1"/>
  <c r="N54" i="1"/>
  <c r="E54" i="6" s="1"/>
  <c r="J31" i="1"/>
  <c r="J7" i="1"/>
  <c r="K46" i="1"/>
  <c r="K16" i="1"/>
  <c r="D16" i="3" s="1"/>
  <c r="L38" i="1"/>
  <c r="E38" i="4" s="1"/>
  <c r="M30" i="1"/>
  <c r="N51" i="1"/>
  <c r="E51" i="6" s="1"/>
  <c r="J30" i="1"/>
  <c r="J54" i="1"/>
  <c r="E54" i="2" s="1"/>
  <c r="K39" i="1"/>
  <c r="C39" i="3" s="1"/>
  <c r="K15" i="1"/>
  <c r="C15" i="3" s="1"/>
  <c r="L27" i="1"/>
  <c r="M23" i="1"/>
  <c r="D23" i="5" s="1"/>
  <c r="N47" i="1"/>
  <c r="E47" i="6" s="1"/>
  <c r="N6" i="1"/>
  <c r="C6" i="6" s="1"/>
  <c r="J53" i="1"/>
  <c r="K21" i="1"/>
  <c r="D21" i="3" s="1"/>
  <c r="L21" i="1"/>
  <c r="L43" i="1"/>
  <c r="D43" i="4" s="1"/>
  <c r="M13" i="1"/>
  <c r="D13" i="5" s="1"/>
  <c r="J29" i="1"/>
  <c r="J4" i="1"/>
  <c r="C4" i="2" s="1"/>
  <c r="J45" i="1"/>
  <c r="L61" i="1"/>
  <c r="L19" i="1"/>
  <c r="M56" i="1"/>
  <c r="C56" i="5" s="1"/>
  <c r="M29" i="1"/>
  <c r="N45" i="1"/>
  <c r="E45" i="6" s="1"/>
  <c r="N22" i="1"/>
  <c r="E22" i="6" s="1"/>
  <c r="K53" i="1"/>
  <c r="E53" i="3" s="1"/>
  <c r="K6" i="1"/>
  <c r="E6" i="3" s="1"/>
  <c r="J6" i="1"/>
  <c r="L37" i="1"/>
  <c r="D37" i="4" s="1"/>
  <c r="N21" i="1"/>
  <c r="E21" i="6" s="1"/>
  <c r="L29" i="1"/>
  <c r="C29" i="4" s="1"/>
  <c r="J21" i="1"/>
  <c r="L6" i="1"/>
  <c r="J19" i="1"/>
  <c r="K37" i="1"/>
  <c r="C37" i="3" s="1"/>
  <c r="L45" i="1"/>
  <c r="L4" i="1"/>
  <c r="N29" i="1"/>
  <c r="C29" i="6" s="1"/>
  <c r="J27" i="1"/>
  <c r="E27" i="2" s="1"/>
  <c r="J62" i="1"/>
  <c r="E62" i="2" s="1"/>
  <c r="K62" i="1"/>
  <c r="L59" i="1"/>
  <c r="D59" i="4" s="1"/>
  <c r="J38" i="1"/>
  <c r="J24" i="1"/>
  <c r="C24" i="2" s="1"/>
  <c r="J13" i="1"/>
  <c r="J61" i="1"/>
  <c r="K61" i="1"/>
  <c r="D61" i="3" s="1"/>
  <c r="K45" i="1"/>
  <c r="C45" i="3" s="1"/>
  <c r="K29" i="1"/>
  <c r="K13" i="1"/>
  <c r="E13" i="3" s="1"/>
  <c r="L54" i="1"/>
  <c r="L35" i="1"/>
  <c r="L13" i="1"/>
  <c r="C13" i="4" s="1"/>
  <c r="M40" i="1"/>
  <c r="E40" i="5" s="1"/>
  <c r="M22" i="1"/>
  <c r="M6" i="1"/>
  <c r="N38" i="1"/>
  <c r="E38" i="6" s="1"/>
  <c r="N14" i="1"/>
  <c r="E14" i="6" s="1"/>
  <c r="J37" i="1"/>
  <c r="J23" i="1"/>
  <c r="J11" i="1"/>
  <c r="C11" i="2" s="1"/>
  <c r="J55" i="1"/>
  <c r="C55" i="2" s="1"/>
  <c r="K56" i="1"/>
  <c r="C56" i="3" s="1"/>
  <c r="K40" i="1"/>
  <c r="K24" i="1"/>
  <c r="E24" i="3" s="1"/>
  <c r="K8" i="1"/>
  <c r="L53" i="1"/>
  <c r="D53" i="4" s="1"/>
  <c r="L30" i="1"/>
  <c r="D30" i="4" s="1"/>
  <c r="L11" i="1"/>
  <c r="M39" i="1"/>
  <c r="C39" i="5" s="1"/>
  <c r="N55" i="1"/>
  <c r="E55" i="6" s="1"/>
  <c r="N37" i="1"/>
  <c r="C37" i="6" s="1"/>
  <c r="N13" i="1"/>
  <c r="D13" i="6" s="1"/>
  <c r="K41" i="1"/>
  <c r="L41" i="1"/>
  <c r="M41" i="1"/>
  <c r="N41" i="1"/>
  <c r="D35" i="5"/>
  <c r="M17" i="1"/>
  <c r="K17" i="1"/>
  <c r="N17" i="1"/>
  <c r="L17" i="1"/>
  <c r="J17" i="1"/>
  <c r="C16" i="5"/>
  <c r="D16" i="5"/>
  <c r="E46" i="2"/>
  <c r="C46" i="2"/>
  <c r="C55" i="4"/>
  <c r="D55" i="4"/>
  <c r="E55" i="4"/>
  <c r="C47" i="4"/>
  <c r="D47" i="4"/>
  <c r="E47" i="4"/>
  <c r="C39" i="4"/>
  <c r="D39" i="4"/>
  <c r="E39" i="4"/>
  <c r="C31" i="4"/>
  <c r="D31" i="4"/>
  <c r="E31" i="4"/>
  <c r="E15" i="6"/>
  <c r="D15" i="6"/>
  <c r="C15" i="6"/>
  <c r="C16" i="3"/>
  <c r="E16" i="3"/>
  <c r="E60" i="5"/>
  <c r="D60" i="5"/>
  <c r="C60" i="5"/>
  <c r="E37" i="5"/>
  <c r="D37" i="5"/>
  <c r="C37" i="5"/>
  <c r="N25" i="1"/>
  <c r="K25" i="1"/>
  <c r="L25" i="1"/>
  <c r="J25" i="1"/>
  <c r="M25" i="1"/>
  <c r="E46" i="4"/>
  <c r="K57" i="1"/>
  <c r="L57" i="1"/>
  <c r="N57" i="1"/>
  <c r="M57" i="1"/>
  <c r="K49" i="1"/>
  <c r="M49" i="1"/>
  <c r="L49" i="1"/>
  <c r="N49" i="1"/>
  <c r="K33" i="1"/>
  <c r="L33" i="1"/>
  <c r="J33" i="1"/>
  <c r="M33" i="1"/>
  <c r="N33" i="1"/>
  <c r="K9" i="1"/>
  <c r="N9" i="1"/>
  <c r="M9" i="1"/>
  <c r="L9" i="1"/>
  <c r="J9" i="1"/>
  <c r="E4" i="2"/>
  <c r="D62" i="2"/>
  <c r="C62" i="2"/>
  <c r="D53" i="3"/>
  <c r="C53" i="3"/>
  <c r="C21" i="3"/>
  <c r="C22" i="4"/>
  <c r="E22" i="4"/>
  <c r="D24" i="2"/>
  <c r="E24" i="2"/>
  <c r="C48" i="3"/>
  <c r="C62" i="4"/>
  <c r="D62" i="4"/>
  <c r="E62" i="4"/>
  <c r="E43" i="4"/>
  <c r="C43" i="4"/>
  <c r="J57" i="1"/>
  <c r="J41" i="1"/>
  <c r="C38" i="4"/>
  <c r="D38" i="4"/>
  <c r="E61" i="6"/>
  <c r="C61" i="6"/>
  <c r="D61" i="6"/>
  <c r="C53" i="5"/>
  <c r="D53" i="5"/>
  <c r="E53" i="5"/>
  <c r="E45" i="5"/>
  <c r="C45" i="5"/>
  <c r="D45" i="5"/>
  <c r="C8" i="2"/>
  <c r="D8" i="2"/>
  <c r="E8" i="2"/>
  <c r="C59" i="4"/>
  <c r="E59" i="4"/>
  <c r="D14" i="4"/>
  <c r="D52" i="5"/>
  <c r="E52" i="5"/>
  <c r="C52" i="5"/>
  <c r="J60" i="1"/>
  <c r="K60" i="1"/>
  <c r="L60" i="1"/>
  <c r="N60" i="1"/>
  <c r="N52" i="1"/>
  <c r="K52" i="1"/>
  <c r="J52" i="1"/>
  <c r="L52" i="1"/>
  <c r="N44" i="1"/>
  <c r="J44" i="1"/>
  <c r="K44" i="1"/>
  <c r="L44" i="1"/>
  <c r="M36" i="1"/>
  <c r="J36" i="1"/>
  <c r="K36" i="1"/>
  <c r="N36" i="1"/>
  <c r="L36" i="1"/>
  <c r="J28" i="1"/>
  <c r="N28" i="1"/>
  <c r="K28" i="1"/>
  <c r="M28" i="1"/>
  <c r="L28" i="1"/>
  <c r="J20" i="1"/>
  <c r="K20" i="1"/>
  <c r="M20" i="1"/>
  <c r="N20" i="1"/>
  <c r="L20" i="1"/>
  <c r="J12" i="1"/>
  <c r="M12" i="1"/>
  <c r="K12" i="1"/>
  <c r="N12" i="1"/>
  <c r="L12" i="1"/>
  <c r="J5" i="1"/>
  <c r="M5" i="1"/>
  <c r="K5" i="1"/>
  <c r="L5" i="1"/>
  <c r="N5" i="1"/>
  <c r="C32" i="2"/>
  <c r="E32" i="2"/>
  <c r="D54" i="2"/>
  <c r="D45" i="3"/>
  <c r="E45" i="3"/>
  <c r="D29" i="3"/>
  <c r="E29" i="3"/>
  <c r="C29" i="3"/>
  <c r="D13" i="3"/>
  <c r="C13" i="3"/>
  <c r="C54" i="4"/>
  <c r="D54" i="4"/>
  <c r="E54" i="4"/>
  <c r="M44" i="1"/>
  <c r="E51" i="2"/>
  <c r="D51" i="2"/>
  <c r="C51" i="2"/>
  <c r="C43" i="6"/>
  <c r="E43" i="6"/>
  <c r="D43" i="6"/>
  <c r="D35" i="6"/>
  <c r="E35" i="6"/>
  <c r="C35" i="6"/>
  <c r="E27" i="5"/>
  <c r="D27" i="5"/>
  <c r="C27" i="5"/>
  <c r="E19" i="5"/>
  <c r="C19" i="5"/>
  <c r="D19" i="5"/>
  <c r="E11" i="5"/>
  <c r="D11" i="5"/>
  <c r="C11" i="5"/>
  <c r="E4" i="5"/>
  <c r="D4" i="5"/>
  <c r="C4" i="5"/>
  <c r="E19" i="2"/>
  <c r="D19" i="2"/>
  <c r="C19" i="2"/>
  <c r="E56" i="3"/>
  <c r="C40" i="3"/>
  <c r="D40" i="3"/>
  <c r="E40" i="3"/>
  <c r="C24" i="3"/>
  <c r="D24" i="3"/>
  <c r="C8" i="3"/>
  <c r="D8" i="3"/>
  <c r="E8" i="3"/>
  <c r="E30" i="4"/>
  <c r="J58" i="1"/>
  <c r="K58" i="1"/>
  <c r="L58" i="1"/>
  <c r="N58" i="1"/>
  <c r="M58" i="1"/>
  <c r="J50" i="1"/>
  <c r="K50" i="1"/>
  <c r="L50" i="1"/>
  <c r="M50" i="1"/>
  <c r="N50" i="1"/>
  <c r="M42" i="1"/>
  <c r="J42" i="1"/>
  <c r="K42" i="1"/>
  <c r="L42" i="1"/>
  <c r="N42" i="1"/>
  <c r="M34" i="1"/>
  <c r="N34" i="1"/>
  <c r="K34" i="1"/>
  <c r="L34" i="1"/>
  <c r="J34" i="1"/>
  <c r="M26" i="1"/>
  <c r="K26" i="1"/>
  <c r="N26" i="1"/>
  <c r="L26" i="1"/>
  <c r="J26" i="1"/>
  <c r="E18" i="5"/>
  <c r="C18" i="5"/>
  <c r="D18" i="5"/>
  <c r="C16" i="2"/>
  <c r="D16" i="2"/>
  <c r="E16" i="2"/>
  <c r="J49" i="1"/>
  <c r="E51" i="4"/>
  <c r="C51" i="4"/>
  <c r="D51" i="4"/>
  <c r="C7" i="4"/>
  <c r="E7" i="4"/>
  <c r="D7" i="4"/>
  <c r="C45" i="6"/>
  <c r="D21" i="6"/>
  <c r="E6" i="6"/>
  <c r="J18" i="1"/>
  <c r="J10" i="1"/>
  <c r="J3" i="1"/>
  <c r="J56" i="1"/>
  <c r="J48" i="1"/>
  <c r="J40" i="1"/>
  <c r="C55" i="3"/>
  <c r="D55" i="3"/>
  <c r="E55" i="3"/>
  <c r="C47" i="3"/>
  <c r="D47" i="3"/>
  <c r="E47" i="3"/>
  <c r="E39" i="3"/>
  <c r="C31" i="3"/>
  <c r="D31" i="3"/>
  <c r="E31" i="3"/>
  <c r="C23" i="3"/>
  <c r="D23" i="3"/>
  <c r="E23" i="3"/>
  <c r="D15" i="3"/>
  <c r="E15" i="3"/>
  <c r="E61" i="4"/>
  <c r="C61" i="4"/>
  <c r="E53" i="4"/>
  <c r="C53" i="4"/>
  <c r="C45" i="4"/>
  <c r="D45" i="4"/>
  <c r="E45" i="4"/>
  <c r="C37" i="4"/>
  <c r="E37" i="4"/>
  <c r="D29" i="4"/>
  <c r="E29" i="4"/>
  <c r="C21" i="4"/>
  <c r="D21" i="4"/>
  <c r="E21" i="4"/>
  <c r="D13" i="4"/>
  <c r="E6" i="4"/>
  <c r="C6" i="4"/>
  <c r="D6" i="4"/>
  <c r="M59" i="1"/>
  <c r="M51" i="1"/>
  <c r="M43" i="1"/>
  <c r="M24" i="1"/>
  <c r="E15" i="5"/>
  <c r="C15" i="5"/>
  <c r="D15" i="5"/>
  <c r="C7" i="5"/>
  <c r="E7" i="5"/>
  <c r="N59" i="1"/>
  <c r="D51" i="6"/>
  <c r="D31" i="6"/>
  <c r="E29" i="6"/>
  <c r="E23" i="5"/>
  <c r="E13" i="4"/>
  <c r="E10" i="5"/>
  <c r="C10" i="5"/>
  <c r="D10" i="5"/>
  <c r="E3" i="5"/>
  <c r="D3" i="5"/>
  <c r="C3" i="5"/>
  <c r="E55" i="2"/>
  <c r="C47" i="2"/>
  <c r="D47" i="2"/>
  <c r="E47" i="2"/>
  <c r="C62" i="3"/>
  <c r="D62" i="3"/>
  <c r="E62" i="3"/>
  <c r="C54" i="3"/>
  <c r="D54" i="3"/>
  <c r="E54" i="3"/>
  <c r="C46" i="3"/>
  <c r="D46" i="3"/>
  <c r="E46" i="3"/>
  <c r="C38" i="3"/>
  <c r="D38" i="3"/>
  <c r="E38" i="3"/>
  <c r="C30" i="3"/>
  <c r="D30" i="3"/>
  <c r="E30" i="3"/>
  <c r="C22" i="3"/>
  <c r="D22" i="3"/>
  <c r="E22" i="3"/>
  <c r="C14" i="3"/>
  <c r="D14" i="3"/>
  <c r="E14" i="3"/>
  <c r="C7" i="3"/>
  <c r="D7" i="3"/>
  <c r="E7" i="3"/>
  <c r="M32" i="1"/>
  <c r="D14" i="5"/>
  <c r="E14" i="5"/>
  <c r="C14" i="5"/>
  <c r="D6" i="5"/>
  <c r="C6" i="5"/>
  <c r="E6" i="5"/>
  <c r="N4" i="1"/>
  <c r="D30" i="6"/>
  <c r="D6" i="6"/>
  <c r="E13" i="5"/>
  <c r="C19" i="4"/>
  <c r="D19" i="4"/>
  <c r="E19" i="4"/>
  <c r="D22" i="5"/>
  <c r="E22" i="5"/>
  <c r="N11" i="1"/>
  <c r="N3" i="1"/>
  <c r="C51" i="6"/>
  <c r="C23" i="6"/>
  <c r="C14" i="6"/>
  <c r="D39" i="6"/>
  <c r="D29" i="6"/>
  <c r="E13" i="6"/>
  <c r="C23" i="5"/>
  <c r="D40" i="6"/>
  <c r="E40" i="6"/>
  <c r="L18" i="1"/>
  <c r="N10" i="1"/>
  <c r="C40" i="6"/>
  <c r="C31" i="6"/>
  <c r="C22" i="6"/>
  <c r="C13" i="6"/>
  <c r="D47" i="6"/>
  <c r="D38" i="6"/>
  <c r="D14" i="6"/>
  <c r="E37" i="6"/>
  <c r="C22" i="5"/>
  <c r="D61" i="4"/>
  <c r="E56" i="5"/>
  <c r="D56" i="5"/>
  <c r="N19" i="1"/>
  <c r="D38" i="2"/>
  <c r="E38" i="2"/>
  <c r="C38" i="2"/>
  <c r="D22" i="2"/>
  <c r="E22" i="2"/>
  <c r="C22" i="2"/>
  <c r="D7" i="2"/>
  <c r="E7" i="2"/>
  <c r="C7" i="2"/>
  <c r="K59" i="1"/>
  <c r="K43" i="1"/>
  <c r="K27" i="1"/>
  <c r="K4" i="1"/>
  <c r="D38" i="5"/>
  <c r="E38" i="5"/>
  <c r="C39" i="6"/>
  <c r="C30" i="6"/>
  <c r="C21" i="6"/>
  <c r="D55" i="6"/>
  <c r="D46" i="6"/>
  <c r="D37" i="6"/>
  <c r="C27" i="4"/>
  <c r="D27" i="4"/>
  <c r="E27" i="4"/>
  <c r="C11" i="4"/>
  <c r="D11" i="4"/>
  <c r="E11" i="4"/>
  <c r="C40" i="5"/>
  <c r="D48" i="6"/>
  <c r="E48" i="6"/>
  <c r="D24" i="6"/>
  <c r="E24" i="6"/>
  <c r="D16" i="6"/>
  <c r="E16" i="6"/>
  <c r="C39" i="2"/>
  <c r="D39" i="2"/>
  <c r="E39" i="2"/>
  <c r="C23" i="2"/>
  <c r="D23" i="2"/>
  <c r="E23" i="2"/>
  <c r="D53" i="2"/>
  <c r="E53" i="2"/>
  <c r="C53" i="2"/>
  <c r="L10" i="1"/>
  <c r="L3" i="1"/>
  <c r="M48" i="1"/>
  <c r="D39" i="5"/>
  <c r="E39" i="5"/>
  <c r="D30" i="5"/>
  <c r="E30" i="5"/>
  <c r="C30" i="5"/>
  <c r="D21" i="5"/>
  <c r="E21" i="5"/>
  <c r="D30" i="2"/>
  <c r="E30" i="2"/>
  <c r="C30" i="2"/>
  <c r="D14" i="2"/>
  <c r="E14" i="2"/>
  <c r="C14" i="2"/>
  <c r="K51" i="1"/>
  <c r="K35" i="1"/>
  <c r="K19" i="1"/>
  <c r="K11" i="1"/>
  <c r="M55" i="1"/>
  <c r="M47" i="1"/>
  <c r="D29" i="5"/>
  <c r="E29" i="5"/>
  <c r="C29" i="5"/>
  <c r="N18" i="1"/>
  <c r="D29" i="2"/>
  <c r="E29" i="2"/>
  <c r="C29" i="2"/>
  <c r="D13" i="2"/>
  <c r="E13" i="2"/>
  <c r="C13" i="2"/>
  <c r="J59" i="1"/>
  <c r="J43" i="1"/>
  <c r="K18" i="1"/>
  <c r="K3" i="1"/>
  <c r="L56" i="1"/>
  <c r="L48" i="1"/>
  <c r="L32" i="1"/>
  <c r="L24" i="1"/>
  <c r="L16" i="1"/>
  <c r="L8" i="1"/>
  <c r="M62" i="1"/>
  <c r="M54" i="1"/>
  <c r="M46" i="1"/>
  <c r="N62" i="1"/>
  <c r="N53" i="1"/>
  <c r="C47" i="6"/>
  <c r="C38" i="6"/>
  <c r="D54" i="6"/>
  <c r="D45" i="6"/>
  <c r="D23" i="6"/>
  <c r="C38" i="5"/>
  <c r="C13" i="5"/>
  <c r="D35" i="4"/>
  <c r="E35" i="4"/>
  <c r="C35" i="4"/>
  <c r="C4" i="4"/>
  <c r="D4" i="4"/>
  <c r="E4" i="4"/>
  <c r="D31" i="5"/>
  <c r="E31" i="5"/>
  <c r="C31" i="5"/>
  <c r="D56" i="6"/>
  <c r="E56" i="6"/>
  <c r="D32" i="6"/>
  <c r="E32" i="6"/>
  <c r="D8" i="6"/>
  <c r="E8" i="6"/>
  <c r="C31" i="2"/>
  <c r="D31" i="2"/>
  <c r="E31" i="2"/>
  <c r="C15" i="2"/>
  <c r="D15" i="2"/>
  <c r="E15" i="2"/>
  <c r="D61" i="2"/>
  <c r="E61" i="2"/>
  <c r="C61" i="2"/>
  <c r="D45" i="2"/>
  <c r="E45" i="2"/>
  <c r="C45" i="2"/>
  <c r="N27" i="1"/>
  <c r="D37" i="2"/>
  <c r="E37" i="2"/>
  <c r="C37" i="2"/>
  <c r="D21" i="2"/>
  <c r="E21" i="2"/>
  <c r="C21" i="2"/>
  <c r="D6" i="2"/>
  <c r="E6" i="2"/>
  <c r="C6" i="2"/>
  <c r="K10" i="1"/>
  <c r="L40" i="1"/>
  <c r="L23" i="1"/>
  <c r="L15" i="1"/>
  <c r="M61" i="1"/>
  <c r="M8" i="1"/>
  <c r="N7" i="1"/>
  <c r="C55" i="6"/>
  <c r="C46" i="6"/>
  <c r="D22" i="6"/>
  <c r="H2" i="1"/>
  <c r="F64" i="4" l="1"/>
  <c r="C61" i="3"/>
  <c r="E37" i="3"/>
  <c r="D55" i="2"/>
  <c r="D39" i="3"/>
  <c r="F39" i="3" s="1"/>
  <c r="C54" i="6"/>
  <c r="F54" i="6" s="1"/>
  <c r="C30" i="4"/>
  <c r="F30" i="4" s="1"/>
  <c r="E35" i="2"/>
  <c r="F35" i="2" s="1"/>
  <c r="D11" i="2"/>
  <c r="D6" i="3"/>
  <c r="D37" i="3"/>
  <c r="D40" i="5"/>
  <c r="F40" i="5" s="1"/>
  <c r="C54" i="2"/>
  <c r="E48" i="3"/>
  <c r="F48" i="3" s="1"/>
  <c r="C46" i="4"/>
  <c r="F46" i="4" s="1"/>
  <c r="D4" i="2"/>
  <c r="F4" i="2" s="1"/>
  <c r="E66" i="4"/>
  <c r="F46" i="6"/>
  <c r="E11" i="2"/>
  <c r="F30" i="6"/>
  <c r="E61" i="3"/>
  <c r="D64" i="2"/>
  <c r="F64" i="2" s="1"/>
  <c r="F30" i="5"/>
  <c r="F39" i="6"/>
  <c r="F63" i="5"/>
  <c r="F47" i="6"/>
  <c r="F22" i="5"/>
  <c r="F63" i="2"/>
  <c r="F65" i="4"/>
  <c r="D66" i="3"/>
  <c r="E66" i="3"/>
  <c r="C66" i="3"/>
  <c r="C67" i="5"/>
  <c r="D67" i="5"/>
  <c r="E67" i="5"/>
  <c r="F67" i="4"/>
  <c r="D65" i="3"/>
  <c r="C65" i="3"/>
  <c r="E65" i="3"/>
  <c r="E67" i="3"/>
  <c r="D67" i="3"/>
  <c r="C67" i="3"/>
  <c r="E63" i="6"/>
  <c r="C63" i="6"/>
  <c r="D63" i="6"/>
  <c r="D65" i="6"/>
  <c r="E65" i="6"/>
  <c r="C65" i="6"/>
  <c r="D66" i="6"/>
  <c r="E66" i="6"/>
  <c r="C66" i="6"/>
  <c r="D66" i="5"/>
  <c r="E66" i="5"/>
  <c r="C66" i="5"/>
  <c r="F65" i="2"/>
  <c r="F6" i="6"/>
  <c r="E64" i="3"/>
  <c r="C64" i="3"/>
  <c r="D64" i="3"/>
  <c r="D67" i="6"/>
  <c r="E67" i="6"/>
  <c r="C67" i="6"/>
  <c r="E32" i="3"/>
  <c r="F32" i="3" s="1"/>
  <c r="C27" i="2"/>
  <c r="F27" i="2" s="1"/>
  <c r="E35" i="5"/>
  <c r="F35" i="5" s="1"/>
  <c r="D65" i="5"/>
  <c r="E65" i="5"/>
  <c r="C65" i="5"/>
  <c r="D67" i="2"/>
  <c r="E67" i="2"/>
  <c r="C67" i="2"/>
  <c r="F63" i="3"/>
  <c r="D56" i="3"/>
  <c r="E14" i="4"/>
  <c r="C35" i="2"/>
  <c r="D32" i="3"/>
  <c r="E21" i="3"/>
  <c r="D27" i="2"/>
  <c r="F31" i="4"/>
  <c r="C66" i="2"/>
  <c r="D66" i="2"/>
  <c r="E66" i="2"/>
  <c r="F64" i="5"/>
  <c r="F21" i="6"/>
  <c r="D64" i="6"/>
  <c r="E64" i="6"/>
  <c r="C64" i="6"/>
  <c r="F27" i="5"/>
  <c r="F56" i="3"/>
  <c r="F19" i="2"/>
  <c r="F60" i="5"/>
  <c r="C6" i="3"/>
  <c r="F6" i="3" s="1"/>
  <c r="F37" i="6"/>
  <c r="F45" i="3"/>
  <c r="F14" i="6"/>
  <c r="F21" i="5"/>
  <c r="F51" i="6"/>
  <c r="F62" i="2"/>
  <c r="F23" i="5"/>
  <c r="F16" i="2"/>
  <c r="F37" i="3"/>
  <c r="F38" i="5"/>
  <c r="F23" i="3"/>
  <c r="F39" i="4"/>
  <c r="F6" i="2"/>
  <c r="F8" i="6"/>
  <c r="F16" i="6"/>
  <c r="F46" i="3"/>
  <c r="F21" i="4"/>
  <c r="F47" i="3"/>
  <c r="F13" i="3"/>
  <c r="F35" i="6"/>
  <c r="F52" i="5"/>
  <c r="F59" i="4"/>
  <c r="F24" i="6"/>
  <c r="F21" i="2"/>
  <c r="F45" i="2"/>
  <c r="F15" i="2"/>
  <c r="F35" i="4"/>
  <c r="F53" i="2"/>
  <c r="F22" i="6"/>
  <c r="F29" i="6"/>
  <c r="F14" i="5"/>
  <c r="F54" i="3"/>
  <c r="F15" i="5"/>
  <c r="F39" i="2"/>
  <c r="F32" i="6"/>
  <c r="F56" i="6"/>
  <c r="F38" i="6"/>
  <c r="F48" i="6"/>
  <c r="F7" i="2"/>
  <c r="F31" i="6"/>
  <c r="F37" i="5"/>
  <c r="D16" i="4"/>
  <c r="E16" i="4"/>
  <c r="C16" i="4"/>
  <c r="E59" i="2"/>
  <c r="D59" i="2"/>
  <c r="C59" i="2"/>
  <c r="C8" i="5"/>
  <c r="D8" i="5"/>
  <c r="E8" i="5"/>
  <c r="D27" i="6"/>
  <c r="E27" i="6"/>
  <c r="C27" i="6"/>
  <c r="F4" i="4"/>
  <c r="E24" i="4"/>
  <c r="C24" i="4"/>
  <c r="D24" i="4"/>
  <c r="F13" i="2"/>
  <c r="F14" i="2"/>
  <c r="E3" i="4"/>
  <c r="C3" i="4"/>
  <c r="D3" i="4"/>
  <c r="F11" i="4"/>
  <c r="E43" i="3"/>
  <c r="C43" i="3"/>
  <c r="D43" i="3"/>
  <c r="F38" i="2"/>
  <c r="F13" i="6"/>
  <c r="E18" i="4"/>
  <c r="C18" i="4"/>
  <c r="D18" i="4"/>
  <c r="F19" i="4"/>
  <c r="F30" i="3"/>
  <c r="E59" i="6"/>
  <c r="C59" i="6"/>
  <c r="D59" i="6"/>
  <c r="E51" i="5"/>
  <c r="D51" i="5"/>
  <c r="C51" i="5"/>
  <c r="C3" i="2"/>
  <c r="D3" i="2"/>
  <c r="E3" i="2"/>
  <c r="C26" i="6"/>
  <c r="D26" i="6"/>
  <c r="E26" i="6"/>
  <c r="C34" i="5"/>
  <c r="E34" i="5"/>
  <c r="D34" i="5"/>
  <c r="C50" i="5"/>
  <c r="E50" i="5"/>
  <c r="D50" i="5"/>
  <c r="E58" i="4"/>
  <c r="C58" i="4"/>
  <c r="D58" i="4"/>
  <c r="F8" i="3"/>
  <c r="F11" i="5"/>
  <c r="E44" i="5"/>
  <c r="C44" i="5"/>
  <c r="D44" i="5"/>
  <c r="F54" i="2"/>
  <c r="D5" i="3"/>
  <c r="E5" i="3"/>
  <c r="C5" i="3"/>
  <c r="D12" i="5"/>
  <c r="E12" i="5"/>
  <c r="C12" i="5"/>
  <c r="D28" i="4"/>
  <c r="C28" i="4"/>
  <c r="E28" i="4"/>
  <c r="D36" i="6"/>
  <c r="E36" i="6"/>
  <c r="C36" i="6"/>
  <c r="D44" i="6"/>
  <c r="C44" i="6"/>
  <c r="E44" i="6"/>
  <c r="D60" i="3"/>
  <c r="E60" i="3"/>
  <c r="C60" i="3"/>
  <c r="F11" i="2"/>
  <c r="F43" i="4"/>
  <c r="C33" i="6"/>
  <c r="E33" i="6"/>
  <c r="D33" i="6"/>
  <c r="C49" i="4"/>
  <c r="D49" i="4"/>
  <c r="E49" i="4"/>
  <c r="D25" i="4"/>
  <c r="E25" i="4"/>
  <c r="C25" i="4"/>
  <c r="E32" i="4"/>
  <c r="C32" i="4"/>
  <c r="D32" i="4"/>
  <c r="E59" i="5"/>
  <c r="C59" i="5"/>
  <c r="D59" i="5"/>
  <c r="C10" i="2"/>
  <c r="D10" i="2"/>
  <c r="E10" i="2"/>
  <c r="E26" i="3"/>
  <c r="C26" i="3"/>
  <c r="D26" i="3"/>
  <c r="C42" i="6"/>
  <c r="E42" i="6"/>
  <c r="D42" i="6"/>
  <c r="E50" i="4"/>
  <c r="C50" i="4"/>
  <c r="D50" i="4"/>
  <c r="E58" i="3"/>
  <c r="C58" i="3"/>
  <c r="D58" i="3"/>
  <c r="D5" i="5"/>
  <c r="C5" i="5"/>
  <c r="E5" i="5"/>
  <c r="E12" i="2"/>
  <c r="C12" i="2"/>
  <c r="D12" i="2"/>
  <c r="D36" i="3"/>
  <c r="E36" i="3"/>
  <c r="C36" i="3"/>
  <c r="D52" i="4"/>
  <c r="E52" i="4"/>
  <c r="C52" i="4"/>
  <c r="E60" i="2"/>
  <c r="C60" i="2"/>
  <c r="D60" i="2"/>
  <c r="F45" i="5"/>
  <c r="C33" i="5"/>
  <c r="E33" i="5"/>
  <c r="D33" i="5"/>
  <c r="C49" i="5"/>
  <c r="E49" i="5"/>
  <c r="D49" i="5"/>
  <c r="C25" i="3"/>
  <c r="D25" i="3"/>
  <c r="E25" i="3"/>
  <c r="F55" i="4"/>
  <c r="F16" i="5"/>
  <c r="E61" i="5"/>
  <c r="D61" i="5"/>
  <c r="C61" i="5"/>
  <c r="F23" i="2"/>
  <c r="F23" i="6"/>
  <c r="C3" i="6"/>
  <c r="D3" i="6"/>
  <c r="E3" i="6"/>
  <c r="F14" i="3"/>
  <c r="F55" i="2"/>
  <c r="F7" i="5"/>
  <c r="F45" i="4"/>
  <c r="D18" i="2"/>
  <c r="E18" i="2"/>
  <c r="C18" i="2"/>
  <c r="F7" i="4"/>
  <c r="C26" i="5"/>
  <c r="E26" i="5"/>
  <c r="D26" i="5"/>
  <c r="E42" i="4"/>
  <c r="C42" i="4"/>
  <c r="D42" i="4"/>
  <c r="E50" i="3"/>
  <c r="C50" i="3"/>
  <c r="D50" i="3"/>
  <c r="D58" i="2"/>
  <c r="C58" i="2"/>
  <c r="E58" i="2"/>
  <c r="E5" i="2"/>
  <c r="C5" i="2"/>
  <c r="D5" i="2"/>
  <c r="E28" i="5"/>
  <c r="C28" i="5"/>
  <c r="D28" i="5"/>
  <c r="E36" i="2"/>
  <c r="D36" i="2"/>
  <c r="C36" i="2"/>
  <c r="E52" i="2"/>
  <c r="D52" i="2"/>
  <c r="C52" i="2"/>
  <c r="C9" i="2"/>
  <c r="D9" i="2"/>
  <c r="E9" i="2"/>
  <c r="C33" i="2"/>
  <c r="D33" i="2"/>
  <c r="E33" i="2"/>
  <c r="C49" i="3"/>
  <c r="E49" i="3"/>
  <c r="D49" i="3"/>
  <c r="D25" i="6"/>
  <c r="E25" i="6"/>
  <c r="C25" i="6"/>
  <c r="F16" i="3"/>
  <c r="C17" i="2"/>
  <c r="D17" i="2"/>
  <c r="E17" i="2"/>
  <c r="E15" i="4"/>
  <c r="C15" i="4"/>
  <c r="D15" i="4"/>
  <c r="E62" i="6"/>
  <c r="D62" i="6"/>
  <c r="C62" i="6"/>
  <c r="E55" i="5"/>
  <c r="D55" i="5"/>
  <c r="C55" i="5"/>
  <c r="F30" i="2"/>
  <c r="F27" i="4"/>
  <c r="F40" i="6"/>
  <c r="D11" i="6"/>
  <c r="C11" i="6"/>
  <c r="E11" i="6"/>
  <c r="F38" i="3"/>
  <c r="F3" i="5"/>
  <c r="F6" i="4"/>
  <c r="F53" i="4"/>
  <c r="F31" i="3"/>
  <c r="F18" i="5"/>
  <c r="D34" i="2"/>
  <c r="E34" i="2"/>
  <c r="C34" i="2"/>
  <c r="D50" i="2"/>
  <c r="E50" i="2"/>
  <c r="C50" i="2"/>
  <c r="F24" i="3"/>
  <c r="F54" i="4"/>
  <c r="D20" i="4"/>
  <c r="C20" i="4"/>
  <c r="E20" i="4"/>
  <c r="D28" i="3"/>
  <c r="E28" i="3"/>
  <c r="C28" i="3"/>
  <c r="E36" i="5"/>
  <c r="D36" i="5"/>
  <c r="C36" i="5"/>
  <c r="D52" i="3"/>
  <c r="E52" i="3"/>
  <c r="C52" i="3"/>
  <c r="F22" i="4"/>
  <c r="E33" i="4"/>
  <c r="C33" i="4"/>
  <c r="D33" i="4"/>
  <c r="F15" i="6"/>
  <c r="F46" i="2"/>
  <c r="E41" i="6"/>
  <c r="C41" i="6"/>
  <c r="D41" i="6"/>
  <c r="C48" i="4"/>
  <c r="D48" i="4"/>
  <c r="E48" i="4"/>
  <c r="E47" i="5"/>
  <c r="D47" i="5"/>
  <c r="C47" i="5"/>
  <c r="E23" i="4"/>
  <c r="C23" i="4"/>
  <c r="D23" i="4"/>
  <c r="F31" i="5"/>
  <c r="E46" i="5"/>
  <c r="D46" i="5"/>
  <c r="C46" i="5"/>
  <c r="C56" i="4"/>
  <c r="D56" i="4"/>
  <c r="E56" i="4"/>
  <c r="F29" i="2"/>
  <c r="C40" i="4"/>
  <c r="D40" i="4"/>
  <c r="E40" i="4"/>
  <c r="F37" i="2"/>
  <c r="F61" i="2"/>
  <c r="F31" i="2"/>
  <c r="D54" i="5"/>
  <c r="C54" i="5"/>
  <c r="E54" i="5"/>
  <c r="E3" i="3"/>
  <c r="C3" i="3"/>
  <c r="D3" i="3"/>
  <c r="E11" i="3"/>
  <c r="D11" i="3"/>
  <c r="C11" i="3"/>
  <c r="F39" i="5"/>
  <c r="C19" i="6"/>
  <c r="D19" i="6"/>
  <c r="E19" i="6"/>
  <c r="C32" i="5"/>
  <c r="D32" i="5"/>
  <c r="E32" i="5"/>
  <c r="F62" i="3"/>
  <c r="F29" i="4"/>
  <c r="F55" i="3"/>
  <c r="F51" i="4"/>
  <c r="E34" i="4"/>
  <c r="D34" i="4"/>
  <c r="C34" i="4"/>
  <c r="E42" i="3"/>
  <c r="C42" i="3"/>
  <c r="D42" i="3"/>
  <c r="F19" i="5"/>
  <c r="E20" i="6"/>
  <c r="C20" i="6"/>
  <c r="D20" i="6"/>
  <c r="C28" i="6"/>
  <c r="D28" i="6"/>
  <c r="E28" i="6"/>
  <c r="D44" i="4"/>
  <c r="E44" i="4"/>
  <c r="C44" i="4"/>
  <c r="F38" i="4"/>
  <c r="C9" i="4"/>
  <c r="D9" i="4"/>
  <c r="E9" i="4"/>
  <c r="C57" i="5"/>
  <c r="E57" i="5"/>
  <c r="D57" i="5"/>
  <c r="D17" i="4"/>
  <c r="E17" i="4"/>
  <c r="C17" i="4"/>
  <c r="C41" i="5"/>
  <c r="D41" i="5"/>
  <c r="E41" i="5"/>
  <c r="D53" i="6"/>
  <c r="E53" i="6"/>
  <c r="C53" i="6"/>
  <c r="E10" i="4"/>
  <c r="C10" i="4"/>
  <c r="D10" i="4"/>
  <c r="E59" i="3"/>
  <c r="C59" i="3"/>
  <c r="D59" i="3"/>
  <c r="F55" i="6"/>
  <c r="E10" i="3"/>
  <c r="C10" i="3"/>
  <c r="D10" i="3"/>
  <c r="F13" i="5"/>
  <c r="D62" i="5"/>
  <c r="E62" i="5"/>
  <c r="C62" i="5"/>
  <c r="E18" i="3"/>
  <c r="C18" i="3"/>
  <c r="D18" i="3"/>
  <c r="E19" i="3"/>
  <c r="C19" i="3"/>
  <c r="D19" i="3"/>
  <c r="F22" i="2"/>
  <c r="C4" i="6"/>
  <c r="D4" i="6"/>
  <c r="E4" i="6"/>
  <c r="F22" i="3"/>
  <c r="F15" i="3"/>
  <c r="C40" i="2"/>
  <c r="D40" i="2"/>
  <c r="E40" i="2"/>
  <c r="F45" i="6"/>
  <c r="D26" i="2"/>
  <c r="E26" i="2"/>
  <c r="C26" i="2"/>
  <c r="E34" i="3"/>
  <c r="C34" i="3"/>
  <c r="D34" i="3"/>
  <c r="D42" i="2"/>
  <c r="E42" i="2"/>
  <c r="C42" i="2"/>
  <c r="F4" i="5"/>
  <c r="F32" i="2"/>
  <c r="D12" i="4"/>
  <c r="C12" i="4"/>
  <c r="E12" i="4"/>
  <c r="D20" i="5"/>
  <c r="E20" i="5"/>
  <c r="C20" i="5"/>
  <c r="E28" i="2"/>
  <c r="D28" i="2"/>
  <c r="C28" i="2"/>
  <c r="E52" i="6"/>
  <c r="C52" i="6"/>
  <c r="D52" i="6"/>
  <c r="F8" i="2"/>
  <c r="F53" i="5"/>
  <c r="C41" i="2"/>
  <c r="D41" i="2"/>
  <c r="E41" i="2"/>
  <c r="F62" i="4"/>
  <c r="E9" i="5"/>
  <c r="C9" i="5"/>
  <c r="D9" i="5"/>
  <c r="C33" i="3"/>
  <c r="D33" i="3"/>
  <c r="E33" i="3"/>
  <c r="C57" i="6"/>
  <c r="D57" i="6"/>
  <c r="E57" i="6"/>
  <c r="C25" i="5"/>
  <c r="D25" i="5"/>
  <c r="E25" i="5"/>
  <c r="D17" i="6"/>
  <c r="E17" i="6"/>
  <c r="C17" i="6"/>
  <c r="E41" i="4"/>
  <c r="C41" i="4"/>
  <c r="D41" i="4"/>
  <c r="D8" i="4"/>
  <c r="E8" i="4"/>
  <c r="C8" i="4"/>
  <c r="E43" i="2"/>
  <c r="D43" i="2"/>
  <c r="C43" i="2"/>
  <c r="C18" i="6"/>
  <c r="D18" i="6"/>
  <c r="E18" i="6"/>
  <c r="E35" i="3"/>
  <c r="C35" i="3"/>
  <c r="D35" i="3"/>
  <c r="E4" i="3"/>
  <c r="C4" i="3"/>
  <c r="D4" i="3"/>
  <c r="C24" i="5"/>
  <c r="D24" i="5"/>
  <c r="E24" i="5"/>
  <c r="F13" i="4"/>
  <c r="F61" i="4"/>
  <c r="C48" i="2"/>
  <c r="D48" i="2"/>
  <c r="E48" i="2"/>
  <c r="C49" i="2"/>
  <c r="D49" i="2"/>
  <c r="E49" i="2"/>
  <c r="E26" i="4"/>
  <c r="D26" i="4"/>
  <c r="C26" i="4"/>
  <c r="C42" i="5"/>
  <c r="E42" i="5"/>
  <c r="D42" i="5"/>
  <c r="C58" i="5"/>
  <c r="E58" i="5"/>
  <c r="D58" i="5"/>
  <c r="F40" i="3"/>
  <c r="F43" i="6"/>
  <c r="C5" i="6"/>
  <c r="D5" i="6"/>
  <c r="E5" i="6"/>
  <c r="D12" i="6"/>
  <c r="C12" i="6"/>
  <c r="E12" i="6"/>
  <c r="D20" i="3"/>
  <c r="E20" i="3"/>
  <c r="C20" i="3"/>
  <c r="D36" i="4"/>
  <c r="C36" i="4"/>
  <c r="E36" i="4"/>
  <c r="D44" i="3"/>
  <c r="E44" i="3"/>
  <c r="C44" i="3"/>
  <c r="E60" i="6"/>
  <c r="C60" i="6"/>
  <c r="D60" i="6"/>
  <c r="C57" i="2"/>
  <c r="D57" i="2"/>
  <c r="E57" i="2"/>
  <c r="F24" i="2"/>
  <c r="D9" i="6"/>
  <c r="E9" i="6"/>
  <c r="C9" i="6"/>
  <c r="C57" i="4"/>
  <c r="D57" i="4"/>
  <c r="E57" i="4"/>
  <c r="C25" i="2"/>
  <c r="D25" i="2"/>
  <c r="E25" i="2"/>
  <c r="F47" i="4"/>
  <c r="C17" i="3"/>
  <c r="D17" i="3"/>
  <c r="E17" i="3"/>
  <c r="C41" i="3"/>
  <c r="D41" i="3"/>
  <c r="E41" i="3"/>
  <c r="E7" i="6"/>
  <c r="C7" i="6"/>
  <c r="D7" i="6"/>
  <c r="F29" i="5"/>
  <c r="E51" i="3"/>
  <c r="D51" i="3"/>
  <c r="C51" i="3"/>
  <c r="C48" i="5"/>
  <c r="E48" i="5"/>
  <c r="D48" i="5"/>
  <c r="E27" i="3"/>
  <c r="C27" i="3"/>
  <c r="D27" i="3"/>
  <c r="F56" i="5"/>
  <c r="C10" i="6"/>
  <c r="D10" i="6"/>
  <c r="E10" i="6"/>
  <c r="F6" i="5"/>
  <c r="F7" i="3"/>
  <c r="F47" i="2"/>
  <c r="F10" i="5"/>
  <c r="E43" i="5"/>
  <c r="C43" i="5"/>
  <c r="D43" i="5"/>
  <c r="F37" i="4"/>
  <c r="C56" i="2"/>
  <c r="D56" i="2"/>
  <c r="E56" i="2"/>
  <c r="C34" i="6"/>
  <c r="D34" i="6"/>
  <c r="E34" i="6"/>
  <c r="C50" i="6"/>
  <c r="E50" i="6"/>
  <c r="D50" i="6"/>
  <c r="C58" i="6"/>
  <c r="D58" i="6"/>
  <c r="E58" i="6"/>
  <c r="F51" i="2"/>
  <c r="F29" i="3"/>
  <c r="D5" i="4"/>
  <c r="C5" i="4"/>
  <c r="E5" i="4"/>
  <c r="D12" i="3"/>
  <c r="E12" i="3"/>
  <c r="C12" i="3"/>
  <c r="E20" i="2"/>
  <c r="D20" i="2"/>
  <c r="C20" i="2"/>
  <c r="E44" i="2"/>
  <c r="C44" i="2"/>
  <c r="D44" i="2"/>
  <c r="D60" i="4"/>
  <c r="E60" i="4"/>
  <c r="C60" i="4"/>
  <c r="F14" i="4"/>
  <c r="F61" i="6"/>
  <c r="F53" i="3"/>
  <c r="C9" i="3"/>
  <c r="E9" i="3"/>
  <c r="D9" i="3"/>
  <c r="E49" i="6"/>
  <c r="C49" i="6"/>
  <c r="D49" i="6"/>
  <c r="C57" i="3"/>
  <c r="D57" i="3"/>
  <c r="E57" i="3"/>
  <c r="C17" i="5"/>
  <c r="E17" i="5"/>
  <c r="D17" i="5"/>
  <c r="J2" i="1"/>
  <c r="L2" i="1"/>
  <c r="M2" i="1"/>
  <c r="N2" i="1"/>
  <c r="C2" i="6" s="1"/>
  <c r="K2" i="1"/>
  <c r="F61" i="3" l="1"/>
  <c r="F21" i="3"/>
  <c r="F66" i="4"/>
  <c r="F67" i="2"/>
  <c r="F25" i="2"/>
  <c r="F64" i="6"/>
  <c r="F66" i="6"/>
  <c r="F63" i="6"/>
  <c r="F66" i="2"/>
  <c r="F65" i="5"/>
  <c r="F67" i="6"/>
  <c r="F67" i="3"/>
  <c r="F65" i="6"/>
  <c r="F67" i="5"/>
  <c r="F66" i="5"/>
  <c r="F66" i="3"/>
  <c r="F15" i="4"/>
  <c r="F50" i="5"/>
  <c r="F64" i="3"/>
  <c r="F65" i="3"/>
  <c r="F36" i="4"/>
  <c r="F4" i="3"/>
  <c r="F50" i="3"/>
  <c r="F42" i="2"/>
  <c r="F44" i="3"/>
  <c r="F34" i="4"/>
  <c r="F34" i="2"/>
  <c r="F25" i="4"/>
  <c r="F60" i="4"/>
  <c r="F12" i="3"/>
  <c r="F26" i="2"/>
  <c r="F52" i="3"/>
  <c r="F43" i="2"/>
  <c r="F27" i="6"/>
  <c r="F60" i="6"/>
  <c r="F56" i="4"/>
  <c r="F60" i="2"/>
  <c r="F33" i="6"/>
  <c r="F58" i="4"/>
  <c r="F8" i="5"/>
  <c r="F42" i="5"/>
  <c r="F33" i="3"/>
  <c r="F32" i="5"/>
  <c r="F25" i="6"/>
  <c r="F52" i="2"/>
  <c r="F52" i="4"/>
  <c r="F19" i="3"/>
  <c r="F58" i="3"/>
  <c r="F56" i="2"/>
  <c r="F17" i="3"/>
  <c r="F10" i="3"/>
  <c r="F48" i="4"/>
  <c r="F12" i="2"/>
  <c r="F26" i="4"/>
  <c r="F24" i="5"/>
  <c r="F17" i="6"/>
  <c r="F9" i="2"/>
  <c r="F49" i="5"/>
  <c r="F32" i="4"/>
  <c r="F43" i="5"/>
  <c r="F51" i="3"/>
  <c r="F4" i="6"/>
  <c r="F10" i="4"/>
  <c r="F9" i="4"/>
  <c r="F28" i="6"/>
  <c r="F40" i="4"/>
  <c r="F36" i="5"/>
  <c r="F11" i="6"/>
  <c r="F28" i="5"/>
  <c r="F26" i="5"/>
  <c r="F36" i="3"/>
  <c r="F42" i="6"/>
  <c r="F10" i="2"/>
  <c r="F44" i="6"/>
  <c r="F12" i="5"/>
  <c r="F44" i="5"/>
  <c r="F3" i="4"/>
  <c r="F58" i="6"/>
  <c r="F9" i="3"/>
  <c r="F44" i="2"/>
  <c r="F5" i="4"/>
  <c r="F27" i="3"/>
  <c r="F41" i="3"/>
  <c r="F58" i="5"/>
  <c r="F49" i="2"/>
  <c r="F57" i="6"/>
  <c r="F54" i="5"/>
  <c r="F59" i="2"/>
  <c r="F7" i="6"/>
  <c r="F20" i="3"/>
  <c r="F5" i="6"/>
  <c r="F53" i="6"/>
  <c r="F20" i="6"/>
  <c r="F11" i="3"/>
  <c r="F23" i="4"/>
  <c r="F33" i="2"/>
  <c r="F5" i="2"/>
  <c r="F18" i="2"/>
  <c r="F26" i="3"/>
  <c r="F59" i="5"/>
  <c r="F49" i="4"/>
  <c r="F36" i="6"/>
  <c r="F59" i="6"/>
  <c r="F34" i="6"/>
  <c r="F20" i="2"/>
  <c r="F57" i="3"/>
  <c r="F50" i="6"/>
  <c r="F57" i="4"/>
  <c r="F9" i="6"/>
  <c r="F35" i="3"/>
  <c r="F8" i="4"/>
  <c r="F52" i="6"/>
  <c r="F12" i="4"/>
  <c r="F40" i="2"/>
  <c r="F18" i="3"/>
  <c r="F44" i="4"/>
  <c r="F41" i="6"/>
  <c r="F28" i="3"/>
  <c r="F3" i="6"/>
  <c r="F5" i="3"/>
  <c r="F28" i="2"/>
  <c r="F34" i="3"/>
  <c r="F47" i="5"/>
  <c r="F50" i="2"/>
  <c r="F55" i="5"/>
  <c r="F36" i="2"/>
  <c r="F42" i="4"/>
  <c r="F33" i="5"/>
  <c r="F50" i="4"/>
  <c r="F60" i="3"/>
  <c r="F34" i="5"/>
  <c r="F43" i="3"/>
  <c r="F16" i="4"/>
  <c r="F49" i="6"/>
  <c r="F10" i="6"/>
  <c r="F57" i="2"/>
  <c r="F62" i="5"/>
  <c r="F59" i="3"/>
  <c r="F46" i="5"/>
  <c r="F3" i="2"/>
  <c r="F24" i="4"/>
  <c r="F12" i="6"/>
  <c r="F48" i="2"/>
  <c r="F41" i="4"/>
  <c r="F25" i="5"/>
  <c r="F9" i="5"/>
  <c r="F41" i="5"/>
  <c r="F57" i="5"/>
  <c r="F19" i="6"/>
  <c r="F3" i="3"/>
  <c r="F58" i="2"/>
  <c r="F61" i="5"/>
  <c r="F25" i="3"/>
  <c r="F5" i="5"/>
  <c r="F28" i="4"/>
  <c r="F51" i="5"/>
  <c r="F17" i="5"/>
  <c r="F48" i="5"/>
  <c r="F18" i="6"/>
  <c r="F41" i="2"/>
  <c r="F20" i="5"/>
  <c r="F17" i="4"/>
  <c r="F42" i="3"/>
  <c r="F33" i="4"/>
  <c r="F20" i="4"/>
  <c r="F62" i="6"/>
  <c r="F17" i="2"/>
  <c r="F49" i="3"/>
  <c r="F26" i="6"/>
  <c r="F18" i="4"/>
  <c r="D2" i="6"/>
  <c r="E2" i="6"/>
  <c r="C2" i="2"/>
  <c r="E2" i="2"/>
  <c r="D2" i="2"/>
  <c r="D2" i="5"/>
  <c r="E2" i="5"/>
  <c r="C2" i="5"/>
  <c r="C2" i="4"/>
  <c r="E2" i="4"/>
  <c r="D2" i="4"/>
  <c r="E2" i="3"/>
  <c r="C2" i="3"/>
  <c r="D2" i="3"/>
  <c r="F2" i="3" l="1"/>
  <c r="F2" i="6"/>
  <c r="F2" i="2"/>
  <c r="F2" i="4"/>
  <c r="F2" i="5"/>
</calcChain>
</file>

<file path=xl/sharedStrings.xml><?xml version="1.0" encoding="utf-8"?>
<sst xmlns="http://purl.oclc.org/ooxml/spreadsheetml/main" count="825" uniqueCount="65">
  <si>
    <t>sensor</t>
  </si>
  <si>
    <t>message</t>
  </si>
  <si>
    <t>t1_count</t>
  </si>
  <si>
    <t>t2_count</t>
  </si>
  <si>
    <t>t3_count</t>
  </si>
  <si>
    <t>t4_count</t>
  </si>
  <si>
    <t>t5_count</t>
  </si>
  <si>
    <t>total</t>
  </si>
  <si>
    <t>not_t1</t>
  </si>
  <si>
    <t>not_t2</t>
  </si>
  <si>
    <t>not_t3</t>
  </si>
  <si>
    <t>not_t4</t>
  </si>
  <si>
    <t>not_t5</t>
  </si>
  <si>
    <t>AD1-A</t>
  </si>
  <si>
    <t>AD1-B</t>
  </si>
  <si>
    <t>AD1-C</t>
  </si>
  <si>
    <t>D01</t>
  </si>
  <si>
    <t>CLOSE</t>
  </si>
  <si>
    <t>OPEN</t>
  </si>
  <si>
    <t>I01</t>
  </si>
  <si>
    <t>ABSENT</t>
  </si>
  <si>
    <t>PRESENT</t>
  </si>
  <si>
    <t>I02</t>
  </si>
  <si>
    <t>I03</t>
  </si>
  <si>
    <t>I04</t>
  </si>
  <si>
    <t>I05</t>
  </si>
  <si>
    <t>I06</t>
  </si>
  <si>
    <t>I07</t>
  </si>
  <si>
    <t>I08</t>
  </si>
  <si>
    <t>M01</t>
  </si>
  <si>
    <t>OFF</t>
  </si>
  <si>
    <t>ON</t>
  </si>
  <si>
    <t>M07</t>
  </si>
  <si>
    <t>M08</t>
  </si>
  <si>
    <t>M09</t>
  </si>
  <si>
    <t>M13</t>
  </si>
  <si>
    <t>M14</t>
  </si>
  <si>
    <t>M15</t>
  </si>
  <si>
    <t>M16</t>
  </si>
  <si>
    <t>M17</t>
  </si>
  <si>
    <t>M18</t>
  </si>
  <si>
    <t>M23</t>
  </si>
  <si>
    <t>asterisk</t>
  </si>
  <si>
    <t>END</t>
  </si>
  <si>
    <t>START</t>
  </si>
  <si>
    <t>ACTIVE</t>
  </si>
  <si>
    <t>M21</t>
  </si>
  <si>
    <t>M22</t>
  </si>
  <si>
    <t>M10</t>
  </si>
  <si>
    <t>I09</t>
  </si>
  <si>
    <t>M06</t>
  </si>
  <si>
    <t>belief</t>
  </si>
  <si>
    <t>disbelief</t>
  </si>
  <si>
    <t>uncertainty</t>
  </si>
  <si>
    <t>DUR_0_5</t>
  </si>
  <si>
    <t>DUR_6_15</t>
  </si>
  <si>
    <t>DUR_16_45</t>
  </si>
  <si>
    <t>DUR_46_100</t>
  </si>
  <si>
    <t>DUR_101_PLUS</t>
  </si>
  <si>
    <t>ACT_DUR</t>
  </si>
  <si>
    <t>DUR_0_60</t>
  </si>
  <si>
    <t>DUR_121_200</t>
  </si>
  <si>
    <t>DUR_201_320</t>
  </si>
  <si>
    <t>DUR_321_PLUS</t>
  </si>
  <si>
    <t>DUR_61_120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</si>
</sst>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0417-3E59-E641-81F2-BD2C8A70F6D2}">
  <dimension ref="A1:N62"/>
  <sheetViews>
    <sheetView zoomScale="169" zoomScaleNormal="100" workbookViewId="0">
      <selection activeCell="A3" sqref="A3:XFD3"/>
    </sheetView>
  </sheetViews>
  <sheetFormatPr baseColWidth="10" defaultRowHeight="16" x14ac:dyDescent="0.2"/>
  <cols>
    <col min="1" max="1" width="9" bestFit="1" customWidth="1"/>
    <col min="2" max="2" width="15" bestFit="1" customWidth="1"/>
    <col min="3" max="7" width="8.33203125" bestFit="1" customWidth="1"/>
    <col min="8" max="8" width="18.33203125" bestFit="1" customWidth="1"/>
    <col min="9" max="9" width="18.6640625" bestFit="1" customWidth="1"/>
    <col min="10" max="14" width="6.33203125" bestFit="1" customWidth="1"/>
    <col min="15" max="15" width="6.33203125" customWidth="1"/>
    <col min="16" max="16" width="21" bestFit="1" customWidth="1"/>
    <col min="17" max="17" width="21" customWidth="1"/>
    <col min="18" max="18" width="12.1640625" bestFit="1" customWidth="1"/>
    <col min="22" max="22" width="13.5" bestFit="1" customWidth="1"/>
    <col min="23" max="23" width="12.6640625" bestFit="1" customWidth="1"/>
    <col min="259" max="259" width="7.5" bestFit="1" customWidth="1"/>
    <col min="260" max="260" width="15" bestFit="1" customWidth="1"/>
    <col min="261" max="265" width="8.33203125" bestFit="1" customWidth="1"/>
    <col min="266" max="266" width="18.33203125" bestFit="1" customWidth="1"/>
    <col min="267" max="267" width="18.6640625" bestFit="1" customWidth="1"/>
    <col min="268" max="272" width="6.33203125" bestFit="1" customWidth="1"/>
    <col min="274" max="274" width="15.1640625" customWidth="1"/>
    <col min="275" max="275" width="16" bestFit="1" customWidth="1"/>
    <col min="276" max="276" width="13.1640625" bestFit="1" customWidth="1"/>
    <col min="277" max="278" width="13.5" bestFit="1" customWidth="1"/>
    <col min="279" max="279" width="12.6640625" bestFit="1" customWidth="1"/>
    <col min="515" max="515" width="7.5" bestFit="1" customWidth="1"/>
    <col min="516" max="516" width="15" bestFit="1" customWidth="1"/>
    <col min="517" max="521" width="8.33203125" bestFit="1" customWidth="1"/>
    <col min="522" max="522" width="18.33203125" bestFit="1" customWidth="1"/>
    <col min="523" max="523" width="18.6640625" bestFit="1" customWidth="1"/>
    <col min="524" max="528" width="6.33203125" bestFit="1" customWidth="1"/>
    <col min="530" max="530" width="15.1640625" customWidth="1"/>
    <col min="531" max="531" width="16" bestFit="1" customWidth="1"/>
    <col min="532" max="532" width="13.1640625" bestFit="1" customWidth="1"/>
    <col min="533" max="534" width="13.5" bestFit="1" customWidth="1"/>
    <col min="535" max="535" width="12.6640625" bestFit="1" customWidth="1"/>
    <col min="771" max="771" width="7.5" bestFit="1" customWidth="1"/>
    <col min="772" max="772" width="15" bestFit="1" customWidth="1"/>
    <col min="773" max="777" width="8.33203125" bestFit="1" customWidth="1"/>
    <col min="778" max="778" width="18.33203125" bestFit="1" customWidth="1"/>
    <col min="779" max="779" width="18.6640625" bestFit="1" customWidth="1"/>
    <col min="780" max="784" width="6.33203125" bestFit="1" customWidth="1"/>
    <col min="786" max="786" width="15.1640625" customWidth="1"/>
    <col min="787" max="787" width="16" bestFit="1" customWidth="1"/>
    <col min="788" max="788" width="13.1640625" bestFit="1" customWidth="1"/>
    <col min="789" max="790" width="13.5" bestFit="1" customWidth="1"/>
    <col min="791" max="791" width="12.6640625" bestFit="1" customWidth="1"/>
    <col min="1027" max="1027" width="7.5" bestFit="1" customWidth="1"/>
    <col min="1028" max="1028" width="15" bestFit="1" customWidth="1"/>
    <col min="1029" max="1033" width="8.33203125" bestFit="1" customWidth="1"/>
    <col min="1034" max="1034" width="18.33203125" bestFit="1" customWidth="1"/>
    <col min="1035" max="1035" width="18.6640625" bestFit="1" customWidth="1"/>
    <col min="1036" max="1040" width="6.33203125" bestFit="1" customWidth="1"/>
    <col min="1042" max="1042" width="15.1640625" customWidth="1"/>
    <col min="1043" max="1043" width="16" bestFit="1" customWidth="1"/>
    <col min="1044" max="1044" width="13.1640625" bestFit="1" customWidth="1"/>
    <col min="1045" max="1046" width="13.5" bestFit="1" customWidth="1"/>
    <col min="1047" max="1047" width="12.6640625" bestFit="1" customWidth="1"/>
    <col min="1283" max="1283" width="7.5" bestFit="1" customWidth="1"/>
    <col min="1284" max="1284" width="15" bestFit="1" customWidth="1"/>
    <col min="1285" max="1289" width="8.33203125" bestFit="1" customWidth="1"/>
    <col min="1290" max="1290" width="18.33203125" bestFit="1" customWidth="1"/>
    <col min="1291" max="1291" width="18.6640625" bestFit="1" customWidth="1"/>
    <col min="1292" max="1296" width="6.33203125" bestFit="1" customWidth="1"/>
    <col min="1298" max="1298" width="15.1640625" customWidth="1"/>
    <col min="1299" max="1299" width="16" bestFit="1" customWidth="1"/>
    <col min="1300" max="1300" width="13.1640625" bestFit="1" customWidth="1"/>
    <col min="1301" max="1302" width="13.5" bestFit="1" customWidth="1"/>
    <col min="1303" max="1303" width="12.6640625" bestFit="1" customWidth="1"/>
    <col min="1539" max="1539" width="7.5" bestFit="1" customWidth="1"/>
    <col min="1540" max="1540" width="15" bestFit="1" customWidth="1"/>
    <col min="1541" max="1545" width="8.33203125" bestFit="1" customWidth="1"/>
    <col min="1546" max="1546" width="18.33203125" bestFit="1" customWidth="1"/>
    <col min="1547" max="1547" width="18.6640625" bestFit="1" customWidth="1"/>
    <col min="1548" max="1552" width="6.33203125" bestFit="1" customWidth="1"/>
    <col min="1554" max="1554" width="15.1640625" customWidth="1"/>
    <col min="1555" max="1555" width="16" bestFit="1" customWidth="1"/>
    <col min="1556" max="1556" width="13.1640625" bestFit="1" customWidth="1"/>
    <col min="1557" max="1558" width="13.5" bestFit="1" customWidth="1"/>
    <col min="1559" max="1559" width="12.6640625" bestFit="1" customWidth="1"/>
    <col min="1795" max="1795" width="7.5" bestFit="1" customWidth="1"/>
    <col min="1796" max="1796" width="15" bestFit="1" customWidth="1"/>
    <col min="1797" max="1801" width="8.33203125" bestFit="1" customWidth="1"/>
    <col min="1802" max="1802" width="18.33203125" bestFit="1" customWidth="1"/>
    <col min="1803" max="1803" width="18.6640625" bestFit="1" customWidth="1"/>
    <col min="1804" max="1808" width="6.33203125" bestFit="1" customWidth="1"/>
    <col min="1810" max="1810" width="15.1640625" customWidth="1"/>
    <col min="1811" max="1811" width="16" bestFit="1" customWidth="1"/>
    <col min="1812" max="1812" width="13.1640625" bestFit="1" customWidth="1"/>
    <col min="1813" max="1814" width="13.5" bestFit="1" customWidth="1"/>
    <col min="1815" max="1815" width="12.6640625" bestFit="1" customWidth="1"/>
    <col min="2051" max="2051" width="7.5" bestFit="1" customWidth="1"/>
    <col min="2052" max="2052" width="15" bestFit="1" customWidth="1"/>
    <col min="2053" max="2057" width="8.33203125" bestFit="1" customWidth="1"/>
    <col min="2058" max="2058" width="18.33203125" bestFit="1" customWidth="1"/>
    <col min="2059" max="2059" width="18.6640625" bestFit="1" customWidth="1"/>
    <col min="2060" max="2064" width="6.33203125" bestFit="1" customWidth="1"/>
    <col min="2066" max="2066" width="15.1640625" customWidth="1"/>
    <col min="2067" max="2067" width="16" bestFit="1" customWidth="1"/>
    <col min="2068" max="2068" width="13.1640625" bestFit="1" customWidth="1"/>
    <col min="2069" max="2070" width="13.5" bestFit="1" customWidth="1"/>
    <col min="2071" max="2071" width="12.6640625" bestFit="1" customWidth="1"/>
    <col min="2307" max="2307" width="7.5" bestFit="1" customWidth="1"/>
    <col min="2308" max="2308" width="15" bestFit="1" customWidth="1"/>
    <col min="2309" max="2313" width="8.33203125" bestFit="1" customWidth="1"/>
    <col min="2314" max="2314" width="18.33203125" bestFit="1" customWidth="1"/>
    <col min="2315" max="2315" width="18.6640625" bestFit="1" customWidth="1"/>
    <col min="2316" max="2320" width="6.33203125" bestFit="1" customWidth="1"/>
    <col min="2322" max="2322" width="15.1640625" customWidth="1"/>
    <col min="2323" max="2323" width="16" bestFit="1" customWidth="1"/>
    <col min="2324" max="2324" width="13.1640625" bestFit="1" customWidth="1"/>
    <col min="2325" max="2326" width="13.5" bestFit="1" customWidth="1"/>
    <col min="2327" max="2327" width="12.6640625" bestFit="1" customWidth="1"/>
    <col min="2563" max="2563" width="7.5" bestFit="1" customWidth="1"/>
    <col min="2564" max="2564" width="15" bestFit="1" customWidth="1"/>
    <col min="2565" max="2569" width="8.33203125" bestFit="1" customWidth="1"/>
    <col min="2570" max="2570" width="18.33203125" bestFit="1" customWidth="1"/>
    <col min="2571" max="2571" width="18.6640625" bestFit="1" customWidth="1"/>
    <col min="2572" max="2576" width="6.33203125" bestFit="1" customWidth="1"/>
    <col min="2578" max="2578" width="15.1640625" customWidth="1"/>
    <col min="2579" max="2579" width="16" bestFit="1" customWidth="1"/>
    <col min="2580" max="2580" width="13.1640625" bestFit="1" customWidth="1"/>
    <col min="2581" max="2582" width="13.5" bestFit="1" customWidth="1"/>
    <col min="2583" max="2583" width="12.6640625" bestFit="1" customWidth="1"/>
    <col min="2819" max="2819" width="7.5" bestFit="1" customWidth="1"/>
    <col min="2820" max="2820" width="15" bestFit="1" customWidth="1"/>
    <col min="2821" max="2825" width="8.33203125" bestFit="1" customWidth="1"/>
    <col min="2826" max="2826" width="18.33203125" bestFit="1" customWidth="1"/>
    <col min="2827" max="2827" width="18.6640625" bestFit="1" customWidth="1"/>
    <col min="2828" max="2832" width="6.33203125" bestFit="1" customWidth="1"/>
    <col min="2834" max="2834" width="15.1640625" customWidth="1"/>
    <col min="2835" max="2835" width="16" bestFit="1" customWidth="1"/>
    <col min="2836" max="2836" width="13.1640625" bestFit="1" customWidth="1"/>
    <col min="2837" max="2838" width="13.5" bestFit="1" customWidth="1"/>
    <col min="2839" max="2839" width="12.6640625" bestFit="1" customWidth="1"/>
    <col min="3075" max="3075" width="7.5" bestFit="1" customWidth="1"/>
    <col min="3076" max="3076" width="15" bestFit="1" customWidth="1"/>
    <col min="3077" max="3081" width="8.33203125" bestFit="1" customWidth="1"/>
    <col min="3082" max="3082" width="18.33203125" bestFit="1" customWidth="1"/>
    <col min="3083" max="3083" width="18.6640625" bestFit="1" customWidth="1"/>
    <col min="3084" max="3088" width="6.33203125" bestFit="1" customWidth="1"/>
    <col min="3090" max="3090" width="15.1640625" customWidth="1"/>
    <col min="3091" max="3091" width="16" bestFit="1" customWidth="1"/>
    <col min="3092" max="3092" width="13.1640625" bestFit="1" customWidth="1"/>
    <col min="3093" max="3094" width="13.5" bestFit="1" customWidth="1"/>
    <col min="3095" max="3095" width="12.6640625" bestFit="1" customWidth="1"/>
    <col min="3331" max="3331" width="7.5" bestFit="1" customWidth="1"/>
    <col min="3332" max="3332" width="15" bestFit="1" customWidth="1"/>
    <col min="3333" max="3337" width="8.33203125" bestFit="1" customWidth="1"/>
    <col min="3338" max="3338" width="18.33203125" bestFit="1" customWidth="1"/>
    <col min="3339" max="3339" width="18.6640625" bestFit="1" customWidth="1"/>
    <col min="3340" max="3344" width="6.33203125" bestFit="1" customWidth="1"/>
    <col min="3346" max="3346" width="15.1640625" customWidth="1"/>
    <col min="3347" max="3347" width="16" bestFit="1" customWidth="1"/>
    <col min="3348" max="3348" width="13.1640625" bestFit="1" customWidth="1"/>
    <col min="3349" max="3350" width="13.5" bestFit="1" customWidth="1"/>
    <col min="3351" max="3351" width="12.6640625" bestFit="1" customWidth="1"/>
    <col min="3587" max="3587" width="7.5" bestFit="1" customWidth="1"/>
    <col min="3588" max="3588" width="15" bestFit="1" customWidth="1"/>
    <col min="3589" max="3593" width="8.33203125" bestFit="1" customWidth="1"/>
    <col min="3594" max="3594" width="18.33203125" bestFit="1" customWidth="1"/>
    <col min="3595" max="3595" width="18.6640625" bestFit="1" customWidth="1"/>
    <col min="3596" max="3600" width="6.33203125" bestFit="1" customWidth="1"/>
    <col min="3602" max="3602" width="15.1640625" customWidth="1"/>
    <col min="3603" max="3603" width="16" bestFit="1" customWidth="1"/>
    <col min="3604" max="3604" width="13.1640625" bestFit="1" customWidth="1"/>
    <col min="3605" max="3606" width="13.5" bestFit="1" customWidth="1"/>
    <col min="3607" max="3607" width="12.6640625" bestFit="1" customWidth="1"/>
    <col min="3843" max="3843" width="7.5" bestFit="1" customWidth="1"/>
    <col min="3844" max="3844" width="15" bestFit="1" customWidth="1"/>
    <col min="3845" max="3849" width="8.33203125" bestFit="1" customWidth="1"/>
    <col min="3850" max="3850" width="18.33203125" bestFit="1" customWidth="1"/>
    <col min="3851" max="3851" width="18.6640625" bestFit="1" customWidth="1"/>
    <col min="3852" max="3856" width="6.33203125" bestFit="1" customWidth="1"/>
    <col min="3858" max="3858" width="15.1640625" customWidth="1"/>
    <col min="3859" max="3859" width="16" bestFit="1" customWidth="1"/>
    <col min="3860" max="3860" width="13.1640625" bestFit="1" customWidth="1"/>
    <col min="3861" max="3862" width="13.5" bestFit="1" customWidth="1"/>
    <col min="3863" max="3863" width="12.6640625" bestFit="1" customWidth="1"/>
    <col min="4099" max="4099" width="7.5" bestFit="1" customWidth="1"/>
    <col min="4100" max="4100" width="15" bestFit="1" customWidth="1"/>
    <col min="4101" max="4105" width="8.33203125" bestFit="1" customWidth="1"/>
    <col min="4106" max="4106" width="18.33203125" bestFit="1" customWidth="1"/>
    <col min="4107" max="4107" width="18.6640625" bestFit="1" customWidth="1"/>
    <col min="4108" max="4112" width="6.33203125" bestFit="1" customWidth="1"/>
    <col min="4114" max="4114" width="15.1640625" customWidth="1"/>
    <col min="4115" max="4115" width="16" bestFit="1" customWidth="1"/>
    <col min="4116" max="4116" width="13.1640625" bestFit="1" customWidth="1"/>
    <col min="4117" max="4118" width="13.5" bestFit="1" customWidth="1"/>
    <col min="4119" max="4119" width="12.6640625" bestFit="1" customWidth="1"/>
    <col min="4355" max="4355" width="7.5" bestFit="1" customWidth="1"/>
    <col min="4356" max="4356" width="15" bestFit="1" customWidth="1"/>
    <col min="4357" max="4361" width="8.33203125" bestFit="1" customWidth="1"/>
    <col min="4362" max="4362" width="18.33203125" bestFit="1" customWidth="1"/>
    <col min="4363" max="4363" width="18.6640625" bestFit="1" customWidth="1"/>
    <col min="4364" max="4368" width="6.33203125" bestFit="1" customWidth="1"/>
    <col min="4370" max="4370" width="15.1640625" customWidth="1"/>
    <col min="4371" max="4371" width="16" bestFit="1" customWidth="1"/>
    <col min="4372" max="4372" width="13.1640625" bestFit="1" customWidth="1"/>
    <col min="4373" max="4374" width="13.5" bestFit="1" customWidth="1"/>
    <col min="4375" max="4375" width="12.6640625" bestFit="1" customWidth="1"/>
    <col min="4611" max="4611" width="7.5" bestFit="1" customWidth="1"/>
    <col min="4612" max="4612" width="15" bestFit="1" customWidth="1"/>
    <col min="4613" max="4617" width="8.33203125" bestFit="1" customWidth="1"/>
    <col min="4618" max="4618" width="18.33203125" bestFit="1" customWidth="1"/>
    <col min="4619" max="4619" width="18.6640625" bestFit="1" customWidth="1"/>
    <col min="4620" max="4624" width="6.33203125" bestFit="1" customWidth="1"/>
    <col min="4626" max="4626" width="15.1640625" customWidth="1"/>
    <col min="4627" max="4627" width="16" bestFit="1" customWidth="1"/>
    <col min="4628" max="4628" width="13.1640625" bestFit="1" customWidth="1"/>
    <col min="4629" max="4630" width="13.5" bestFit="1" customWidth="1"/>
    <col min="4631" max="4631" width="12.6640625" bestFit="1" customWidth="1"/>
    <col min="4867" max="4867" width="7.5" bestFit="1" customWidth="1"/>
    <col min="4868" max="4868" width="15" bestFit="1" customWidth="1"/>
    <col min="4869" max="4873" width="8.33203125" bestFit="1" customWidth="1"/>
    <col min="4874" max="4874" width="18.33203125" bestFit="1" customWidth="1"/>
    <col min="4875" max="4875" width="18.6640625" bestFit="1" customWidth="1"/>
    <col min="4876" max="4880" width="6.33203125" bestFit="1" customWidth="1"/>
    <col min="4882" max="4882" width="15.1640625" customWidth="1"/>
    <col min="4883" max="4883" width="16" bestFit="1" customWidth="1"/>
    <col min="4884" max="4884" width="13.1640625" bestFit="1" customWidth="1"/>
    <col min="4885" max="4886" width="13.5" bestFit="1" customWidth="1"/>
    <col min="4887" max="4887" width="12.6640625" bestFit="1" customWidth="1"/>
    <col min="5123" max="5123" width="7.5" bestFit="1" customWidth="1"/>
    <col min="5124" max="5124" width="15" bestFit="1" customWidth="1"/>
    <col min="5125" max="5129" width="8.33203125" bestFit="1" customWidth="1"/>
    <col min="5130" max="5130" width="18.33203125" bestFit="1" customWidth="1"/>
    <col min="5131" max="5131" width="18.6640625" bestFit="1" customWidth="1"/>
    <col min="5132" max="5136" width="6.33203125" bestFit="1" customWidth="1"/>
    <col min="5138" max="5138" width="15.1640625" customWidth="1"/>
    <col min="5139" max="5139" width="16" bestFit="1" customWidth="1"/>
    <col min="5140" max="5140" width="13.1640625" bestFit="1" customWidth="1"/>
    <col min="5141" max="5142" width="13.5" bestFit="1" customWidth="1"/>
    <col min="5143" max="5143" width="12.6640625" bestFit="1" customWidth="1"/>
    <col min="5379" max="5379" width="7.5" bestFit="1" customWidth="1"/>
    <col min="5380" max="5380" width="15" bestFit="1" customWidth="1"/>
    <col min="5381" max="5385" width="8.33203125" bestFit="1" customWidth="1"/>
    <col min="5386" max="5386" width="18.33203125" bestFit="1" customWidth="1"/>
    <col min="5387" max="5387" width="18.6640625" bestFit="1" customWidth="1"/>
    <col min="5388" max="5392" width="6.33203125" bestFit="1" customWidth="1"/>
    <col min="5394" max="5394" width="15.1640625" customWidth="1"/>
    <col min="5395" max="5395" width="16" bestFit="1" customWidth="1"/>
    <col min="5396" max="5396" width="13.1640625" bestFit="1" customWidth="1"/>
    <col min="5397" max="5398" width="13.5" bestFit="1" customWidth="1"/>
    <col min="5399" max="5399" width="12.6640625" bestFit="1" customWidth="1"/>
    <col min="5635" max="5635" width="7.5" bestFit="1" customWidth="1"/>
    <col min="5636" max="5636" width="15" bestFit="1" customWidth="1"/>
    <col min="5637" max="5641" width="8.33203125" bestFit="1" customWidth="1"/>
    <col min="5642" max="5642" width="18.33203125" bestFit="1" customWidth="1"/>
    <col min="5643" max="5643" width="18.6640625" bestFit="1" customWidth="1"/>
    <col min="5644" max="5648" width="6.33203125" bestFit="1" customWidth="1"/>
    <col min="5650" max="5650" width="15.1640625" customWidth="1"/>
    <col min="5651" max="5651" width="16" bestFit="1" customWidth="1"/>
    <col min="5652" max="5652" width="13.1640625" bestFit="1" customWidth="1"/>
    <col min="5653" max="5654" width="13.5" bestFit="1" customWidth="1"/>
    <col min="5655" max="5655" width="12.6640625" bestFit="1" customWidth="1"/>
    <col min="5891" max="5891" width="7.5" bestFit="1" customWidth="1"/>
    <col min="5892" max="5892" width="15" bestFit="1" customWidth="1"/>
    <col min="5893" max="5897" width="8.33203125" bestFit="1" customWidth="1"/>
    <col min="5898" max="5898" width="18.33203125" bestFit="1" customWidth="1"/>
    <col min="5899" max="5899" width="18.6640625" bestFit="1" customWidth="1"/>
    <col min="5900" max="5904" width="6.33203125" bestFit="1" customWidth="1"/>
    <col min="5906" max="5906" width="15.1640625" customWidth="1"/>
    <col min="5907" max="5907" width="16" bestFit="1" customWidth="1"/>
    <col min="5908" max="5908" width="13.1640625" bestFit="1" customWidth="1"/>
    <col min="5909" max="5910" width="13.5" bestFit="1" customWidth="1"/>
    <col min="5911" max="5911" width="12.6640625" bestFit="1" customWidth="1"/>
    <col min="6147" max="6147" width="7.5" bestFit="1" customWidth="1"/>
    <col min="6148" max="6148" width="15" bestFit="1" customWidth="1"/>
    <col min="6149" max="6153" width="8.33203125" bestFit="1" customWidth="1"/>
    <col min="6154" max="6154" width="18.33203125" bestFit="1" customWidth="1"/>
    <col min="6155" max="6155" width="18.6640625" bestFit="1" customWidth="1"/>
    <col min="6156" max="6160" width="6.33203125" bestFit="1" customWidth="1"/>
    <col min="6162" max="6162" width="15.1640625" customWidth="1"/>
    <col min="6163" max="6163" width="16" bestFit="1" customWidth="1"/>
    <col min="6164" max="6164" width="13.1640625" bestFit="1" customWidth="1"/>
    <col min="6165" max="6166" width="13.5" bestFit="1" customWidth="1"/>
    <col min="6167" max="6167" width="12.6640625" bestFit="1" customWidth="1"/>
    <col min="6403" max="6403" width="7.5" bestFit="1" customWidth="1"/>
    <col min="6404" max="6404" width="15" bestFit="1" customWidth="1"/>
    <col min="6405" max="6409" width="8.33203125" bestFit="1" customWidth="1"/>
    <col min="6410" max="6410" width="18.33203125" bestFit="1" customWidth="1"/>
    <col min="6411" max="6411" width="18.6640625" bestFit="1" customWidth="1"/>
    <col min="6412" max="6416" width="6.33203125" bestFit="1" customWidth="1"/>
    <col min="6418" max="6418" width="15.1640625" customWidth="1"/>
    <col min="6419" max="6419" width="16" bestFit="1" customWidth="1"/>
    <col min="6420" max="6420" width="13.1640625" bestFit="1" customWidth="1"/>
    <col min="6421" max="6422" width="13.5" bestFit="1" customWidth="1"/>
    <col min="6423" max="6423" width="12.6640625" bestFit="1" customWidth="1"/>
    <col min="6659" max="6659" width="7.5" bestFit="1" customWidth="1"/>
    <col min="6660" max="6660" width="15" bestFit="1" customWidth="1"/>
    <col min="6661" max="6665" width="8.33203125" bestFit="1" customWidth="1"/>
    <col min="6666" max="6666" width="18.33203125" bestFit="1" customWidth="1"/>
    <col min="6667" max="6667" width="18.6640625" bestFit="1" customWidth="1"/>
    <col min="6668" max="6672" width="6.33203125" bestFit="1" customWidth="1"/>
    <col min="6674" max="6674" width="15.1640625" customWidth="1"/>
    <col min="6675" max="6675" width="16" bestFit="1" customWidth="1"/>
    <col min="6676" max="6676" width="13.1640625" bestFit="1" customWidth="1"/>
    <col min="6677" max="6678" width="13.5" bestFit="1" customWidth="1"/>
    <col min="6679" max="6679" width="12.6640625" bestFit="1" customWidth="1"/>
    <col min="6915" max="6915" width="7.5" bestFit="1" customWidth="1"/>
    <col min="6916" max="6916" width="15" bestFit="1" customWidth="1"/>
    <col min="6917" max="6921" width="8.33203125" bestFit="1" customWidth="1"/>
    <col min="6922" max="6922" width="18.33203125" bestFit="1" customWidth="1"/>
    <col min="6923" max="6923" width="18.6640625" bestFit="1" customWidth="1"/>
    <col min="6924" max="6928" width="6.33203125" bestFit="1" customWidth="1"/>
    <col min="6930" max="6930" width="15.1640625" customWidth="1"/>
    <col min="6931" max="6931" width="16" bestFit="1" customWidth="1"/>
    <col min="6932" max="6932" width="13.1640625" bestFit="1" customWidth="1"/>
    <col min="6933" max="6934" width="13.5" bestFit="1" customWidth="1"/>
    <col min="6935" max="6935" width="12.6640625" bestFit="1" customWidth="1"/>
    <col min="7171" max="7171" width="7.5" bestFit="1" customWidth="1"/>
    <col min="7172" max="7172" width="15" bestFit="1" customWidth="1"/>
    <col min="7173" max="7177" width="8.33203125" bestFit="1" customWidth="1"/>
    <col min="7178" max="7178" width="18.33203125" bestFit="1" customWidth="1"/>
    <col min="7179" max="7179" width="18.6640625" bestFit="1" customWidth="1"/>
    <col min="7180" max="7184" width="6.33203125" bestFit="1" customWidth="1"/>
    <col min="7186" max="7186" width="15.1640625" customWidth="1"/>
    <col min="7187" max="7187" width="16" bestFit="1" customWidth="1"/>
    <col min="7188" max="7188" width="13.1640625" bestFit="1" customWidth="1"/>
    <col min="7189" max="7190" width="13.5" bestFit="1" customWidth="1"/>
    <col min="7191" max="7191" width="12.6640625" bestFit="1" customWidth="1"/>
    <col min="7427" max="7427" width="7.5" bestFit="1" customWidth="1"/>
    <col min="7428" max="7428" width="15" bestFit="1" customWidth="1"/>
    <col min="7429" max="7433" width="8.33203125" bestFit="1" customWidth="1"/>
    <col min="7434" max="7434" width="18.33203125" bestFit="1" customWidth="1"/>
    <col min="7435" max="7435" width="18.6640625" bestFit="1" customWidth="1"/>
    <col min="7436" max="7440" width="6.33203125" bestFit="1" customWidth="1"/>
    <col min="7442" max="7442" width="15.1640625" customWidth="1"/>
    <col min="7443" max="7443" width="16" bestFit="1" customWidth="1"/>
    <col min="7444" max="7444" width="13.1640625" bestFit="1" customWidth="1"/>
    <col min="7445" max="7446" width="13.5" bestFit="1" customWidth="1"/>
    <col min="7447" max="7447" width="12.6640625" bestFit="1" customWidth="1"/>
    <col min="7683" max="7683" width="7.5" bestFit="1" customWidth="1"/>
    <col min="7684" max="7684" width="15" bestFit="1" customWidth="1"/>
    <col min="7685" max="7689" width="8.33203125" bestFit="1" customWidth="1"/>
    <col min="7690" max="7690" width="18.33203125" bestFit="1" customWidth="1"/>
    <col min="7691" max="7691" width="18.6640625" bestFit="1" customWidth="1"/>
    <col min="7692" max="7696" width="6.33203125" bestFit="1" customWidth="1"/>
    <col min="7698" max="7698" width="15.1640625" customWidth="1"/>
    <col min="7699" max="7699" width="16" bestFit="1" customWidth="1"/>
    <col min="7700" max="7700" width="13.1640625" bestFit="1" customWidth="1"/>
    <col min="7701" max="7702" width="13.5" bestFit="1" customWidth="1"/>
    <col min="7703" max="7703" width="12.6640625" bestFit="1" customWidth="1"/>
    <col min="7939" max="7939" width="7.5" bestFit="1" customWidth="1"/>
    <col min="7940" max="7940" width="15" bestFit="1" customWidth="1"/>
    <col min="7941" max="7945" width="8.33203125" bestFit="1" customWidth="1"/>
    <col min="7946" max="7946" width="18.33203125" bestFit="1" customWidth="1"/>
    <col min="7947" max="7947" width="18.6640625" bestFit="1" customWidth="1"/>
    <col min="7948" max="7952" width="6.33203125" bestFit="1" customWidth="1"/>
    <col min="7954" max="7954" width="15.1640625" customWidth="1"/>
    <col min="7955" max="7955" width="16" bestFit="1" customWidth="1"/>
    <col min="7956" max="7956" width="13.1640625" bestFit="1" customWidth="1"/>
    <col min="7957" max="7958" width="13.5" bestFit="1" customWidth="1"/>
    <col min="7959" max="7959" width="12.6640625" bestFit="1" customWidth="1"/>
    <col min="8195" max="8195" width="7.5" bestFit="1" customWidth="1"/>
    <col min="8196" max="8196" width="15" bestFit="1" customWidth="1"/>
    <col min="8197" max="8201" width="8.33203125" bestFit="1" customWidth="1"/>
    <col min="8202" max="8202" width="18.33203125" bestFit="1" customWidth="1"/>
    <col min="8203" max="8203" width="18.6640625" bestFit="1" customWidth="1"/>
    <col min="8204" max="8208" width="6.33203125" bestFit="1" customWidth="1"/>
    <col min="8210" max="8210" width="15.1640625" customWidth="1"/>
    <col min="8211" max="8211" width="16" bestFit="1" customWidth="1"/>
    <col min="8212" max="8212" width="13.1640625" bestFit="1" customWidth="1"/>
    <col min="8213" max="8214" width="13.5" bestFit="1" customWidth="1"/>
    <col min="8215" max="8215" width="12.6640625" bestFit="1" customWidth="1"/>
    <col min="8451" max="8451" width="7.5" bestFit="1" customWidth="1"/>
    <col min="8452" max="8452" width="15" bestFit="1" customWidth="1"/>
    <col min="8453" max="8457" width="8.33203125" bestFit="1" customWidth="1"/>
    <col min="8458" max="8458" width="18.33203125" bestFit="1" customWidth="1"/>
    <col min="8459" max="8459" width="18.6640625" bestFit="1" customWidth="1"/>
    <col min="8460" max="8464" width="6.33203125" bestFit="1" customWidth="1"/>
    <col min="8466" max="8466" width="15.1640625" customWidth="1"/>
    <col min="8467" max="8467" width="16" bestFit="1" customWidth="1"/>
    <col min="8468" max="8468" width="13.1640625" bestFit="1" customWidth="1"/>
    <col min="8469" max="8470" width="13.5" bestFit="1" customWidth="1"/>
    <col min="8471" max="8471" width="12.6640625" bestFit="1" customWidth="1"/>
    <col min="8707" max="8707" width="7.5" bestFit="1" customWidth="1"/>
    <col min="8708" max="8708" width="15" bestFit="1" customWidth="1"/>
    <col min="8709" max="8713" width="8.33203125" bestFit="1" customWidth="1"/>
    <col min="8714" max="8714" width="18.33203125" bestFit="1" customWidth="1"/>
    <col min="8715" max="8715" width="18.6640625" bestFit="1" customWidth="1"/>
    <col min="8716" max="8720" width="6.33203125" bestFit="1" customWidth="1"/>
    <col min="8722" max="8722" width="15.1640625" customWidth="1"/>
    <col min="8723" max="8723" width="16" bestFit="1" customWidth="1"/>
    <col min="8724" max="8724" width="13.1640625" bestFit="1" customWidth="1"/>
    <col min="8725" max="8726" width="13.5" bestFit="1" customWidth="1"/>
    <col min="8727" max="8727" width="12.6640625" bestFit="1" customWidth="1"/>
    <col min="8963" max="8963" width="7.5" bestFit="1" customWidth="1"/>
    <col min="8964" max="8964" width="15" bestFit="1" customWidth="1"/>
    <col min="8965" max="8969" width="8.33203125" bestFit="1" customWidth="1"/>
    <col min="8970" max="8970" width="18.33203125" bestFit="1" customWidth="1"/>
    <col min="8971" max="8971" width="18.6640625" bestFit="1" customWidth="1"/>
    <col min="8972" max="8976" width="6.33203125" bestFit="1" customWidth="1"/>
    <col min="8978" max="8978" width="15.1640625" customWidth="1"/>
    <col min="8979" max="8979" width="16" bestFit="1" customWidth="1"/>
    <col min="8980" max="8980" width="13.1640625" bestFit="1" customWidth="1"/>
    <col min="8981" max="8982" width="13.5" bestFit="1" customWidth="1"/>
    <col min="8983" max="8983" width="12.6640625" bestFit="1" customWidth="1"/>
    <col min="9219" max="9219" width="7.5" bestFit="1" customWidth="1"/>
    <col min="9220" max="9220" width="15" bestFit="1" customWidth="1"/>
    <col min="9221" max="9225" width="8.33203125" bestFit="1" customWidth="1"/>
    <col min="9226" max="9226" width="18.33203125" bestFit="1" customWidth="1"/>
    <col min="9227" max="9227" width="18.6640625" bestFit="1" customWidth="1"/>
    <col min="9228" max="9232" width="6.33203125" bestFit="1" customWidth="1"/>
    <col min="9234" max="9234" width="15.1640625" customWidth="1"/>
    <col min="9235" max="9235" width="16" bestFit="1" customWidth="1"/>
    <col min="9236" max="9236" width="13.1640625" bestFit="1" customWidth="1"/>
    <col min="9237" max="9238" width="13.5" bestFit="1" customWidth="1"/>
    <col min="9239" max="9239" width="12.6640625" bestFit="1" customWidth="1"/>
    <col min="9475" max="9475" width="7.5" bestFit="1" customWidth="1"/>
    <col min="9476" max="9476" width="15" bestFit="1" customWidth="1"/>
    <col min="9477" max="9481" width="8.33203125" bestFit="1" customWidth="1"/>
    <col min="9482" max="9482" width="18.33203125" bestFit="1" customWidth="1"/>
    <col min="9483" max="9483" width="18.6640625" bestFit="1" customWidth="1"/>
    <col min="9484" max="9488" width="6.33203125" bestFit="1" customWidth="1"/>
    <col min="9490" max="9490" width="15.1640625" customWidth="1"/>
    <col min="9491" max="9491" width="16" bestFit="1" customWidth="1"/>
    <col min="9492" max="9492" width="13.1640625" bestFit="1" customWidth="1"/>
    <col min="9493" max="9494" width="13.5" bestFit="1" customWidth="1"/>
    <col min="9495" max="9495" width="12.6640625" bestFit="1" customWidth="1"/>
    <col min="9731" max="9731" width="7.5" bestFit="1" customWidth="1"/>
    <col min="9732" max="9732" width="15" bestFit="1" customWidth="1"/>
    <col min="9733" max="9737" width="8.33203125" bestFit="1" customWidth="1"/>
    <col min="9738" max="9738" width="18.33203125" bestFit="1" customWidth="1"/>
    <col min="9739" max="9739" width="18.6640625" bestFit="1" customWidth="1"/>
    <col min="9740" max="9744" width="6.33203125" bestFit="1" customWidth="1"/>
    <col min="9746" max="9746" width="15.1640625" customWidth="1"/>
    <col min="9747" max="9747" width="16" bestFit="1" customWidth="1"/>
    <col min="9748" max="9748" width="13.1640625" bestFit="1" customWidth="1"/>
    <col min="9749" max="9750" width="13.5" bestFit="1" customWidth="1"/>
    <col min="9751" max="9751" width="12.6640625" bestFit="1" customWidth="1"/>
    <col min="9987" max="9987" width="7.5" bestFit="1" customWidth="1"/>
    <col min="9988" max="9988" width="15" bestFit="1" customWidth="1"/>
    <col min="9989" max="9993" width="8.33203125" bestFit="1" customWidth="1"/>
    <col min="9994" max="9994" width="18.33203125" bestFit="1" customWidth="1"/>
    <col min="9995" max="9995" width="18.6640625" bestFit="1" customWidth="1"/>
    <col min="9996" max="10000" width="6.33203125" bestFit="1" customWidth="1"/>
    <col min="10002" max="10002" width="15.1640625" customWidth="1"/>
    <col min="10003" max="10003" width="16" bestFit="1" customWidth="1"/>
    <col min="10004" max="10004" width="13.1640625" bestFit="1" customWidth="1"/>
    <col min="10005" max="10006" width="13.5" bestFit="1" customWidth="1"/>
    <col min="10007" max="10007" width="12.6640625" bestFit="1" customWidth="1"/>
    <col min="10243" max="10243" width="7.5" bestFit="1" customWidth="1"/>
    <col min="10244" max="10244" width="15" bestFit="1" customWidth="1"/>
    <col min="10245" max="10249" width="8.33203125" bestFit="1" customWidth="1"/>
    <col min="10250" max="10250" width="18.33203125" bestFit="1" customWidth="1"/>
    <col min="10251" max="10251" width="18.6640625" bestFit="1" customWidth="1"/>
    <col min="10252" max="10256" width="6.33203125" bestFit="1" customWidth="1"/>
    <col min="10258" max="10258" width="15.1640625" customWidth="1"/>
    <col min="10259" max="10259" width="16" bestFit="1" customWidth="1"/>
    <col min="10260" max="10260" width="13.1640625" bestFit="1" customWidth="1"/>
    <col min="10261" max="10262" width="13.5" bestFit="1" customWidth="1"/>
    <col min="10263" max="10263" width="12.6640625" bestFit="1" customWidth="1"/>
    <col min="10499" max="10499" width="7.5" bestFit="1" customWidth="1"/>
    <col min="10500" max="10500" width="15" bestFit="1" customWidth="1"/>
    <col min="10501" max="10505" width="8.33203125" bestFit="1" customWidth="1"/>
    <col min="10506" max="10506" width="18.33203125" bestFit="1" customWidth="1"/>
    <col min="10507" max="10507" width="18.6640625" bestFit="1" customWidth="1"/>
    <col min="10508" max="10512" width="6.33203125" bestFit="1" customWidth="1"/>
    <col min="10514" max="10514" width="15.1640625" customWidth="1"/>
    <col min="10515" max="10515" width="16" bestFit="1" customWidth="1"/>
    <col min="10516" max="10516" width="13.1640625" bestFit="1" customWidth="1"/>
    <col min="10517" max="10518" width="13.5" bestFit="1" customWidth="1"/>
    <col min="10519" max="10519" width="12.6640625" bestFit="1" customWidth="1"/>
    <col min="10755" max="10755" width="7.5" bestFit="1" customWidth="1"/>
    <col min="10756" max="10756" width="15" bestFit="1" customWidth="1"/>
    <col min="10757" max="10761" width="8.33203125" bestFit="1" customWidth="1"/>
    <col min="10762" max="10762" width="18.33203125" bestFit="1" customWidth="1"/>
    <col min="10763" max="10763" width="18.6640625" bestFit="1" customWidth="1"/>
    <col min="10764" max="10768" width="6.33203125" bestFit="1" customWidth="1"/>
    <col min="10770" max="10770" width="15.1640625" customWidth="1"/>
    <col min="10771" max="10771" width="16" bestFit="1" customWidth="1"/>
    <col min="10772" max="10772" width="13.1640625" bestFit="1" customWidth="1"/>
    <col min="10773" max="10774" width="13.5" bestFit="1" customWidth="1"/>
    <col min="10775" max="10775" width="12.6640625" bestFit="1" customWidth="1"/>
    <col min="11011" max="11011" width="7.5" bestFit="1" customWidth="1"/>
    <col min="11012" max="11012" width="15" bestFit="1" customWidth="1"/>
    <col min="11013" max="11017" width="8.33203125" bestFit="1" customWidth="1"/>
    <col min="11018" max="11018" width="18.33203125" bestFit="1" customWidth="1"/>
    <col min="11019" max="11019" width="18.6640625" bestFit="1" customWidth="1"/>
    <col min="11020" max="11024" width="6.33203125" bestFit="1" customWidth="1"/>
    <col min="11026" max="11026" width="15.1640625" customWidth="1"/>
    <col min="11027" max="11027" width="16" bestFit="1" customWidth="1"/>
    <col min="11028" max="11028" width="13.1640625" bestFit="1" customWidth="1"/>
    <col min="11029" max="11030" width="13.5" bestFit="1" customWidth="1"/>
    <col min="11031" max="11031" width="12.6640625" bestFit="1" customWidth="1"/>
    <col min="11267" max="11267" width="7.5" bestFit="1" customWidth="1"/>
    <col min="11268" max="11268" width="15" bestFit="1" customWidth="1"/>
    <col min="11269" max="11273" width="8.33203125" bestFit="1" customWidth="1"/>
    <col min="11274" max="11274" width="18.33203125" bestFit="1" customWidth="1"/>
    <col min="11275" max="11275" width="18.6640625" bestFit="1" customWidth="1"/>
    <col min="11276" max="11280" width="6.33203125" bestFit="1" customWidth="1"/>
    <col min="11282" max="11282" width="15.1640625" customWidth="1"/>
    <col min="11283" max="11283" width="16" bestFit="1" customWidth="1"/>
    <col min="11284" max="11284" width="13.1640625" bestFit="1" customWidth="1"/>
    <col min="11285" max="11286" width="13.5" bestFit="1" customWidth="1"/>
    <col min="11287" max="11287" width="12.6640625" bestFit="1" customWidth="1"/>
    <col min="11523" max="11523" width="7.5" bestFit="1" customWidth="1"/>
    <col min="11524" max="11524" width="15" bestFit="1" customWidth="1"/>
    <col min="11525" max="11529" width="8.33203125" bestFit="1" customWidth="1"/>
    <col min="11530" max="11530" width="18.33203125" bestFit="1" customWidth="1"/>
    <col min="11531" max="11531" width="18.6640625" bestFit="1" customWidth="1"/>
    <col min="11532" max="11536" width="6.33203125" bestFit="1" customWidth="1"/>
    <col min="11538" max="11538" width="15.1640625" customWidth="1"/>
    <col min="11539" max="11539" width="16" bestFit="1" customWidth="1"/>
    <col min="11540" max="11540" width="13.1640625" bestFit="1" customWidth="1"/>
    <col min="11541" max="11542" width="13.5" bestFit="1" customWidth="1"/>
    <col min="11543" max="11543" width="12.6640625" bestFit="1" customWidth="1"/>
    <col min="11779" max="11779" width="7.5" bestFit="1" customWidth="1"/>
    <col min="11780" max="11780" width="15" bestFit="1" customWidth="1"/>
    <col min="11781" max="11785" width="8.33203125" bestFit="1" customWidth="1"/>
    <col min="11786" max="11786" width="18.33203125" bestFit="1" customWidth="1"/>
    <col min="11787" max="11787" width="18.6640625" bestFit="1" customWidth="1"/>
    <col min="11788" max="11792" width="6.33203125" bestFit="1" customWidth="1"/>
    <col min="11794" max="11794" width="15.1640625" customWidth="1"/>
    <col min="11795" max="11795" width="16" bestFit="1" customWidth="1"/>
    <col min="11796" max="11796" width="13.1640625" bestFit="1" customWidth="1"/>
    <col min="11797" max="11798" width="13.5" bestFit="1" customWidth="1"/>
    <col min="11799" max="11799" width="12.6640625" bestFit="1" customWidth="1"/>
    <col min="12035" max="12035" width="7.5" bestFit="1" customWidth="1"/>
    <col min="12036" max="12036" width="15" bestFit="1" customWidth="1"/>
    <col min="12037" max="12041" width="8.33203125" bestFit="1" customWidth="1"/>
    <col min="12042" max="12042" width="18.33203125" bestFit="1" customWidth="1"/>
    <col min="12043" max="12043" width="18.6640625" bestFit="1" customWidth="1"/>
    <col min="12044" max="12048" width="6.33203125" bestFit="1" customWidth="1"/>
    <col min="12050" max="12050" width="15.1640625" customWidth="1"/>
    <col min="12051" max="12051" width="16" bestFit="1" customWidth="1"/>
    <col min="12052" max="12052" width="13.1640625" bestFit="1" customWidth="1"/>
    <col min="12053" max="12054" width="13.5" bestFit="1" customWidth="1"/>
    <col min="12055" max="12055" width="12.6640625" bestFit="1" customWidth="1"/>
    <col min="12291" max="12291" width="7.5" bestFit="1" customWidth="1"/>
    <col min="12292" max="12292" width="15" bestFit="1" customWidth="1"/>
    <col min="12293" max="12297" width="8.33203125" bestFit="1" customWidth="1"/>
    <col min="12298" max="12298" width="18.33203125" bestFit="1" customWidth="1"/>
    <col min="12299" max="12299" width="18.6640625" bestFit="1" customWidth="1"/>
    <col min="12300" max="12304" width="6.33203125" bestFit="1" customWidth="1"/>
    <col min="12306" max="12306" width="15.1640625" customWidth="1"/>
    <col min="12307" max="12307" width="16" bestFit="1" customWidth="1"/>
    <col min="12308" max="12308" width="13.1640625" bestFit="1" customWidth="1"/>
    <col min="12309" max="12310" width="13.5" bestFit="1" customWidth="1"/>
    <col min="12311" max="12311" width="12.6640625" bestFit="1" customWidth="1"/>
    <col min="12547" max="12547" width="7.5" bestFit="1" customWidth="1"/>
    <col min="12548" max="12548" width="15" bestFit="1" customWidth="1"/>
    <col min="12549" max="12553" width="8.33203125" bestFit="1" customWidth="1"/>
    <col min="12554" max="12554" width="18.33203125" bestFit="1" customWidth="1"/>
    <col min="12555" max="12555" width="18.6640625" bestFit="1" customWidth="1"/>
    <col min="12556" max="12560" width="6.33203125" bestFit="1" customWidth="1"/>
    <col min="12562" max="12562" width="15.1640625" customWidth="1"/>
    <col min="12563" max="12563" width="16" bestFit="1" customWidth="1"/>
    <col min="12564" max="12564" width="13.1640625" bestFit="1" customWidth="1"/>
    <col min="12565" max="12566" width="13.5" bestFit="1" customWidth="1"/>
    <col min="12567" max="12567" width="12.6640625" bestFit="1" customWidth="1"/>
    <col min="12803" max="12803" width="7.5" bestFit="1" customWidth="1"/>
    <col min="12804" max="12804" width="15" bestFit="1" customWidth="1"/>
    <col min="12805" max="12809" width="8.33203125" bestFit="1" customWidth="1"/>
    <col min="12810" max="12810" width="18.33203125" bestFit="1" customWidth="1"/>
    <col min="12811" max="12811" width="18.6640625" bestFit="1" customWidth="1"/>
    <col min="12812" max="12816" width="6.33203125" bestFit="1" customWidth="1"/>
    <col min="12818" max="12818" width="15.1640625" customWidth="1"/>
    <col min="12819" max="12819" width="16" bestFit="1" customWidth="1"/>
    <col min="12820" max="12820" width="13.1640625" bestFit="1" customWidth="1"/>
    <col min="12821" max="12822" width="13.5" bestFit="1" customWidth="1"/>
    <col min="12823" max="12823" width="12.6640625" bestFit="1" customWidth="1"/>
    <col min="13059" max="13059" width="7.5" bestFit="1" customWidth="1"/>
    <col min="13060" max="13060" width="15" bestFit="1" customWidth="1"/>
    <col min="13061" max="13065" width="8.33203125" bestFit="1" customWidth="1"/>
    <col min="13066" max="13066" width="18.33203125" bestFit="1" customWidth="1"/>
    <col min="13067" max="13067" width="18.6640625" bestFit="1" customWidth="1"/>
    <col min="13068" max="13072" width="6.33203125" bestFit="1" customWidth="1"/>
    <col min="13074" max="13074" width="15.1640625" customWidth="1"/>
    <col min="13075" max="13075" width="16" bestFit="1" customWidth="1"/>
    <col min="13076" max="13076" width="13.1640625" bestFit="1" customWidth="1"/>
    <col min="13077" max="13078" width="13.5" bestFit="1" customWidth="1"/>
    <col min="13079" max="13079" width="12.6640625" bestFit="1" customWidth="1"/>
    <col min="13315" max="13315" width="7.5" bestFit="1" customWidth="1"/>
    <col min="13316" max="13316" width="15" bestFit="1" customWidth="1"/>
    <col min="13317" max="13321" width="8.33203125" bestFit="1" customWidth="1"/>
    <col min="13322" max="13322" width="18.33203125" bestFit="1" customWidth="1"/>
    <col min="13323" max="13323" width="18.6640625" bestFit="1" customWidth="1"/>
    <col min="13324" max="13328" width="6.33203125" bestFit="1" customWidth="1"/>
    <col min="13330" max="13330" width="15.1640625" customWidth="1"/>
    <col min="13331" max="13331" width="16" bestFit="1" customWidth="1"/>
    <col min="13332" max="13332" width="13.1640625" bestFit="1" customWidth="1"/>
    <col min="13333" max="13334" width="13.5" bestFit="1" customWidth="1"/>
    <col min="13335" max="13335" width="12.6640625" bestFit="1" customWidth="1"/>
    <col min="13571" max="13571" width="7.5" bestFit="1" customWidth="1"/>
    <col min="13572" max="13572" width="15" bestFit="1" customWidth="1"/>
    <col min="13573" max="13577" width="8.33203125" bestFit="1" customWidth="1"/>
    <col min="13578" max="13578" width="18.33203125" bestFit="1" customWidth="1"/>
    <col min="13579" max="13579" width="18.6640625" bestFit="1" customWidth="1"/>
    <col min="13580" max="13584" width="6.33203125" bestFit="1" customWidth="1"/>
    <col min="13586" max="13586" width="15.1640625" customWidth="1"/>
    <col min="13587" max="13587" width="16" bestFit="1" customWidth="1"/>
    <col min="13588" max="13588" width="13.1640625" bestFit="1" customWidth="1"/>
    <col min="13589" max="13590" width="13.5" bestFit="1" customWidth="1"/>
    <col min="13591" max="13591" width="12.6640625" bestFit="1" customWidth="1"/>
    <col min="13827" max="13827" width="7.5" bestFit="1" customWidth="1"/>
    <col min="13828" max="13828" width="15" bestFit="1" customWidth="1"/>
    <col min="13829" max="13833" width="8.33203125" bestFit="1" customWidth="1"/>
    <col min="13834" max="13834" width="18.33203125" bestFit="1" customWidth="1"/>
    <col min="13835" max="13835" width="18.6640625" bestFit="1" customWidth="1"/>
    <col min="13836" max="13840" width="6.33203125" bestFit="1" customWidth="1"/>
    <col min="13842" max="13842" width="15.1640625" customWidth="1"/>
    <col min="13843" max="13843" width="16" bestFit="1" customWidth="1"/>
    <col min="13844" max="13844" width="13.1640625" bestFit="1" customWidth="1"/>
    <col min="13845" max="13846" width="13.5" bestFit="1" customWidth="1"/>
    <col min="13847" max="13847" width="12.6640625" bestFit="1" customWidth="1"/>
    <col min="14083" max="14083" width="7.5" bestFit="1" customWidth="1"/>
    <col min="14084" max="14084" width="15" bestFit="1" customWidth="1"/>
    <col min="14085" max="14089" width="8.33203125" bestFit="1" customWidth="1"/>
    <col min="14090" max="14090" width="18.33203125" bestFit="1" customWidth="1"/>
    <col min="14091" max="14091" width="18.6640625" bestFit="1" customWidth="1"/>
    <col min="14092" max="14096" width="6.33203125" bestFit="1" customWidth="1"/>
    <col min="14098" max="14098" width="15.1640625" customWidth="1"/>
    <col min="14099" max="14099" width="16" bestFit="1" customWidth="1"/>
    <col min="14100" max="14100" width="13.1640625" bestFit="1" customWidth="1"/>
    <col min="14101" max="14102" width="13.5" bestFit="1" customWidth="1"/>
    <col min="14103" max="14103" width="12.6640625" bestFit="1" customWidth="1"/>
    <col min="14339" max="14339" width="7.5" bestFit="1" customWidth="1"/>
    <col min="14340" max="14340" width="15" bestFit="1" customWidth="1"/>
    <col min="14341" max="14345" width="8.33203125" bestFit="1" customWidth="1"/>
    <col min="14346" max="14346" width="18.33203125" bestFit="1" customWidth="1"/>
    <col min="14347" max="14347" width="18.6640625" bestFit="1" customWidth="1"/>
    <col min="14348" max="14352" width="6.33203125" bestFit="1" customWidth="1"/>
    <col min="14354" max="14354" width="15.1640625" customWidth="1"/>
    <col min="14355" max="14355" width="16" bestFit="1" customWidth="1"/>
    <col min="14356" max="14356" width="13.1640625" bestFit="1" customWidth="1"/>
    <col min="14357" max="14358" width="13.5" bestFit="1" customWidth="1"/>
    <col min="14359" max="14359" width="12.6640625" bestFit="1" customWidth="1"/>
    <col min="14595" max="14595" width="7.5" bestFit="1" customWidth="1"/>
    <col min="14596" max="14596" width="15" bestFit="1" customWidth="1"/>
    <col min="14597" max="14601" width="8.33203125" bestFit="1" customWidth="1"/>
    <col min="14602" max="14602" width="18.33203125" bestFit="1" customWidth="1"/>
    <col min="14603" max="14603" width="18.6640625" bestFit="1" customWidth="1"/>
    <col min="14604" max="14608" width="6.33203125" bestFit="1" customWidth="1"/>
    <col min="14610" max="14610" width="15.1640625" customWidth="1"/>
    <col min="14611" max="14611" width="16" bestFit="1" customWidth="1"/>
    <col min="14612" max="14612" width="13.1640625" bestFit="1" customWidth="1"/>
    <col min="14613" max="14614" width="13.5" bestFit="1" customWidth="1"/>
    <col min="14615" max="14615" width="12.6640625" bestFit="1" customWidth="1"/>
    <col min="14851" max="14851" width="7.5" bestFit="1" customWidth="1"/>
    <col min="14852" max="14852" width="15" bestFit="1" customWidth="1"/>
    <col min="14853" max="14857" width="8.33203125" bestFit="1" customWidth="1"/>
    <col min="14858" max="14858" width="18.33203125" bestFit="1" customWidth="1"/>
    <col min="14859" max="14859" width="18.6640625" bestFit="1" customWidth="1"/>
    <col min="14860" max="14864" width="6.33203125" bestFit="1" customWidth="1"/>
    <col min="14866" max="14866" width="15.1640625" customWidth="1"/>
    <col min="14867" max="14867" width="16" bestFit="1" customWidth="1"/>
    <col min="14868" max="14868" width="13.1640625" bestFit="1" customWidth="1"/>
    <col min="14869" max="14870" width="13.5" bestFit="1" customWidth="1"/>
    <col min="14871" max="14871" width="12.6640625" bestFit="1" customWidth="1"/>
    <col min="15107" max="15107" width="7.5" bestFit="1" customWidth="1"/>
    <col min="15108" max="15108" width="15" bestFit="1" customWidth="1"/>
    <col min="15109" max="15113" width="8.33203125" bestFit="1" customWidth="1"/>
    <col min="15114" max="15114" width="18.33203125" bestFit="1" customWidth="1"/>
    <col min="15115" max="15115" width="18.6640625" bestFit="1" customWidth="1"/>
    <col min="15116" max="15120" width="6.33203125" bestFit="1" customWidth="1"/>
    <col min="15122" max="15122" width="15.1640625" customWidth="1"/>
    <col min="15123" max="15123" width="16" bestFit="1" customWidth="1"/>
    <col min="15124" max="15124" width="13.1640625" bestFit="1" customWidth="1"/>
    <col min="15125" max="15126" width="13.5" bestFit="1" customWidth="1"/>
    <col min="15127" max="15127" width="12.6640625" bestFit="1" customWidth="1"/>
    <col min="15363" max="15363" width="7.5" bestFit="1" customWidth="1"/>
    <col min="15364" max="15364" width="15" bestFit="1" customWidth="1"/>
    <col min="15365" max="15369" width="8.33203125" bestFit="1" customWidth="1"/>
    <col min="15370" max="15370" width="18.33203125" bestFit="1" customWidth="1"/>
    <col min="15371" max="15371" width="18.6640625" bestFit="1" customWidth="1"/>
    <col min="15372" max="15376" width="6.33203125" bestFit="1" customWidth="1"/>
    <col min="15378" max="15378" width="15.1640625" customWidth="1"/>
    <col min="15379" max="15379" width="16" bestFit="1" customWidth="1"/>
    <col min="15380" max="15380" width="13.1640625" bestFit="1" customWidth="1"/>
    <col min="15381" max="15382" width="13.5" bestFit="1" customWidth="1"/>
    <col min="15383" max="15383" width="12.6640625" bestFit="1" customWidth="1"/>
    <col min="15619" max="15619" width="7.5" bestFit="1" customWidth="1"/>
    <col min="15620" max="15620" width="15" bestFit="1" customWidth="1"/>
    <col min="15621" max="15625" width="8.33203125" bestFit="1" customWidth="1"/>
    <col min="15626" max="15626" width="18.33203125" bestFit="1" customWidth="1"/>
    <col min="15627" max="15627" width="18.6640625" bestFit="1" customWidth="1"/>
    <col min="15628" max="15632" width="6.33203125" bestFit="1" customWidth="1"/>
    <col min="15634" max="15634" width="15.1640625" customWidth="1"/>
    <col min="15635" max="15635" width="16" bestFit="1" customWidth="1"/>
    <col min="15636" max="15636" width="13.1640625" bestFit="1" customWidth="1"/>
    <col min="15637" max="15638" width="13.5" bestFit="1" customWidth="1"/>
    <col min="15639" max="15639" width="12.6640625" bestFit="1" customWidth="1"/>
    <col min="15875" max="15875" width="7.5" bestFit="1" customWidth="1"/>
    <col min="15876" max="15876" width="15" bestFit="1" customWidth="1"/>
    <col min="15877" max="15881" width="8.33203125" bestFit="1" customWidth="1"/>
    <col min="15882" max="15882" width="18.33203125" bestFit="1" customWidth="1"/>
    <col min="15883" max="15883" width="18.6640625" bestFit="1" customWidth="1"/>
    <col min="15884" max="15888" width="6.33203125" bestFit="1" customWidth="1"/>
    <col min="15890" max="15890" width="15.1640625" customWidth="1"/>
    <col min="15891" max="15891" width="16" bestFit="1" customWidth="1"/>
    <col min="15892" max="15892" width="13.1640625" bestFit="1" customWidth="1"/>
    <col min="15893" max="15894" width="13.5" bestFit="1" customWidth="1"/>
    <col min="15895" max="15895" width="12.6640625" bestFit="1" customWidth="1"/>
    <col min="16131" max="16131" width="7.5" bestFit="1" customWidth="1"/>
    <col min="16132" max="16132" width="15" bestFit="1" customWidth="1"/>
    <col min="16133" max="16137" width="8.33203125" bestFit="1" customWidth="1"/>
    <col min="16138" max="16138" width="18.33203125" bestFit="1" customWidth="1"/>
    <col min="16139" max="16139" width="18.6640625" bestFit="1" customWidth="1"/>
    <col min="16140" max="16144" width="6.33203125" bestFit="1" customWidth="1"/>
    <col min="16146" max="16146" width="15.1640625" customWidth="1"/>
    <col min="16147" max="16147" width="16" bestFit="1" customWidth="1"/>
    <col min="16148" max="16148" width="13.1640625" bestFit="1" customWidth="1"/>
    <col min="16149" max="16150" width="13.5" bestFit="1" customWidth="1"/>
    <col min="16151" max="16151" width="12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t="s">
        <v>45</v>
      </c>
      <c r="C2">
        <v>0</v>
      </c>
      <c r="D2">
        <v>0</v>
      </c>
      <c r="E2">
        <v>24</v>
      </c>
      <c r="F2">
        <v>3</v>
      </c>
      <c r="G2">
        <v>1</v>
      </c>
      <c r="H2">
        <f>SUM(C2:G2)</f>
        <v>28</v>
      </c>
      <c r="J2">
        <f t="shared" ref="J2:J62" si="0">H2-C2</f>
        <v>28</v>
      </c>
      <c r="K2">
        <f t="shared" ref="K2:K62" si="1">H2-D2</f>
        <v>28</v>
      </c>
      <c r="L2">
        <f t="shared" ref="L2:L62" si="2">H2-E2</f>
        <v>4</v>
      </c>
      <c r="M2">
        <f t="shared" ref="M2:M62" si="3">H2-F2</f>
        <v>25</v>
      </c>
      <c r="N2">
        <f t="shared" ref="N2:N62" si="4">H2-G2</f>
        <v>27</v>
      </c>
    </row>
    <row r="3" spans="1:14" x14ac:dyDescent="0.2">
      <c r="A3" t="s">
        <v>14</v>
      </c>
      <c r="B3" t="s">
        <v>54</v>
      </c>
      <c r="C3">
        <v>0</v>
      </c>
      <c r="D3">
        <v>0</v>
      </c>
      <c r="E3">
        <v>4</v>
      </c>
      <c r="F3">
        <v>4</v>
      </c>
      <c r="G3">
        <v>1</v>
      </c>
      <c r="H3">
        <f t="shared" ref="H3:H62" si="5">SUM(C3:G3)</f>
        <v>9</v>
      </c>
      <c r="J3">
        <f t="shared" si="0"/>
        <v>9</v>
      </c>
      <c r="K3">
        <f t="shared" si="1"/>
        <v>9</v>
      </c>
      <c r="L3">
        <f t="shared" si="2"/>
        <v>5</v>
      </c>
      <c r="M3">
        <f t="shared" si="3"/>
        <v>5</v>
      </c>
      <c r="N3">
        <f t="shared" si="4"/>
        <v>8</v>
      </c>
    </row>
    <row r="4" spans="1:14" x14ac:dyDescent="0.2">
      <c r="A4" t="s">
        <v>14</v>
      </c>
      <c r="B4" t="s">
        <v>55</v>
      </c>
      <c r="C4">
        <v>0</v>
      </c>
      <c r="D4">
        <v>5</v>
      </c>
      <c r="E4">
        <v>6</v>
      </c>
      <c r="F4">
        <v>6</v>
      </c>
      <c r="G4">
        <v>0</v>
      </c>
      <c r="H4">
        <f t="shared" si="5"/>
        <v>17</v>
      </c>
      <c r="J4">
        <f t="shared" si="0"/>
        <v>17</v>
      </c>
      <c r="K4">
        <f t="shared" si="1"/>
        <v>12</v>
      </c>
      <c r="L4">
        <f t="shared" si="2"/>
        <v>11</v>
      </c>
      <c r="M4">
        <f t="shared" si="3"/>
        <v>11</v>
      </c>
      <c r="N4">
        <f t="shared" si="4"/>
        <v>17</v>
      </c>
    </row>
    <row r="5" spans="1:14" x14ac:dyDescent="0.2">
      <c r="A5" t="s">
        <v>14</v>
      </c>
      <c r="B5" t="s">
        <v>56</v>
      </c>
      <c r="C5">
        <v>0</v>
      </c>
      <c r="D5">
        <v>16</v>
      </c>
      <c r="E5">
        <v>2</v>
      </c>
      <c r="F5">
        <v>0</v>
      </c>
      <c r="G5">
        <v>0</v>
      </c>
      <c r="H5">
        <f t="shared" si="5"/>
        <v>18</v>
      </c>
      <c r="J5">
        <f t="shared" si="0"/>
        <v>18</v>
      </c>
      <c r="K5">
        <f t="shared" si="1"/>
        <v>2</v>
      </c>
      <c r="L5">
        <f t="shared" si="2"/>
        <v>16</v>
      </c>
      <c r="M5">
        <f t="shared" si="3"/>
        <v>18</v>
      </c>
      <c r="N5">
        <f t="shared" si="4"/>
        <v>18</v>
      </c>
    </row>
    <row r="6" spans="1:14" x14ac:dyDescent="0.2">
      <c r="A6" t="s">
        <v>14</v>
      </c>
      <c r="B6" t="s">
        <v>57</v>
      </c>
      <c r="C6">
        <v>0</v>
      </c>
      <c r="D6">
        <v>0</v>
      </c>
      <c r="E6">
        <v>1</v>
      </c>
      <c r="F6">
        <v>0</v>
      </c>
      <c r="G6">
        <v>0</v>
      </c>
      <c r="H6">
        <f t="shared" si="5"/>
        <v>1</v>
      </c>
      <c r="J6">
        <f t="shared" si="0"/>
        <v>1</v>
      </c>
      <c r="K6">
        <f t="shared" si="1"/>
        <v>1</v>
      </c>
      <c r="L6">
        <f t="shared" si="2"/>
        <v>0</v>
      </c>
      <c r="M6">
        <f t="shared" si="3"/>
        <v>1</v>
      </c>
      <c r="N6">
        <f t="shared" si="4"/>
        <v>1</v>
      </c>
    </row>
    <row r="7" spans="1:14" x14ac:dyDescent="0.2">
      <c r="A7" t="s">
        <v>14</v>
      </c>
      <c r="B7" t="s">
        <v>58</v>
      </c>
      <c r="C7">
        <v>0</v>
      </c>
      <c r="D7">
        <v>0</v>
      </c>
      <c r="E7">
        <v>7</v>
      </c>
      <c r="F7">
        <v>0</v>
      </c>
      <c r="G7">
        <v>22</v>
      </c>
      <c r="H7">
        <f t="shared" si="5"/>
        <v>29</v>
      </c>
      <c r="J7">
        <f t="shared" si="0"/>
        <v>29</v>
      </c>
      <c r="K7">
        <f t="shared" si="1"/>
        <v>29</v>
      </c>
      <c r="L7">
        <f t="shared" si="2"/>
        <v>22</v>
      </c>
      <c r="M7">
        <f t="shared" si="3"/>
        <v>29</v>
      </c>
      <c r="N7">
        <f t="shared" si="4"/>
        <v>7</v>
      </c>
    </row>
    <row r="8" spans="1:14" x14ac:dyDescent="0.2">
      <c r="A8" t="s">
        <v>15</v>
      </c>
      <c r="B8" t="s">
        <v>54</v>
      </c>
      <c r="C8">
        <v>0</v>
      </c>
      <c r="D8">
        <v>0</v>
      </c>
      <c r="E8">
        <v>3</v>
      </c>
      <c r="F8">
        <v>4</v>
      </c>
      <c r="G8">
        <v>1</v>
      </c>
      <c r="H8">
        <f t="shared" si="5"/>
        <v>8</v>
      </c>
      <c r="J8">
        <f t="shared" si="0"/>
        <v>8</v>
      </c>
      <c r="K8">
        <f t="shared" si="1"/>
        <v>8</v>
      </c>
      <c r="L8">
        <f t="shared" si="2"/>
        <v>5</v>
      </c>
      <c r="M8">
        <f t="shared" si="3"/>
        <v>4</v>
      </c>
      <c r="N8">
        <f t="shared" si="4"/>
        <v>7</v>
      </c>
    </row>
    <row r="9" spans="1:14" x14ac:dyDescent="0.2">
      <c r="A9" t="s">
        <v>15</v>
      </c>
      <c r="B9" t="s">
        <v>55</v>
      </c>
      <c r="C9">
        <v>0</v>
      </c>
      <c r="D9">
        <v>2</v>
      </c>
      <c r="E9">
        <v>5</v>
      </c>
      <c r="F9">
        <v>16</v>
      </c>
      <c r="G9">
        <v>3</v>
      </c>
      <c r="H9">
        <f t="shared" si="5"/>
        <v>26</v>
      </c>
      <c r="J9">
        <f t="shared" si="0"/>
        <v>26</v>
      </c>
      <c r="K9">
        <f t="shared" si="1"/>
        <v>24</v>
      </c>
      <c r="L9">
        <f t="shared" si="2"/>
        <v>21</v>
      </c>
      <c r="M9">
        <f t="shared" si="3"/>
        <v>10</v>
      </c>
      <c r="N9">
        <f t="shared" si="4"/>
        <v>23</v>
      </c>
    </row>
    <row r="10" spans="1:14" x14ac:dyDescent="0.2">
      <c r="A10" t="s">
        <v>15</v>
      </c>
      <c r="B10" t="s">
        <v>56</v>
      </c>
      <c r="C10">
        <v>0</v>
      </c>
      <c r="D10">
        <v>3</v>
      </c>
      <c r="E10">
        <v>0</v>
      </c>
      <c r="F10">
        <v>1</v>
      </c>
      <c r="G10">
        <v>1</v>
      </c>
      <c r="H10">
        <f t="shared" si="5"/>
        <v>5</v>
      </c>
      <c r="J10">
        <f t="shared" si="0"/>
        <v>5</v>
      </c>
      <c r="K10">
        <f t="shared" si="1"/>
        <v>2</v>
      </c>
      <c r="L10">
        <f t="shared" si="2"/>
        <v>5</v>
      </c>
      <c r="M10">
        <f t="shared" si="3"/>
        <v>4</v>
      </c>
      <c r="N10">
        <f t="shared" si="4"/>
        <v>4</v>
      </c>
    </row>
    <row r="11" spans="1:14" x14ac:dyDescent="0.2">
      <c r="A11" t="s">
        <v>15</v>
      </c>
      <c r="B11" t="s">
        <v>57</v>
      </c>
      <c r="C11">
        <v>0</v>
      </c>
      <c r="D11">
        <v>0</v>
      </c>
      <c r="E11">
        <v>0</v>
      </c>
      <c r="F11">
        <v>0</v>
      </c>
      <c r="G11">
        <v>2</v>
      </c>
      <c r="H11">
        <f t="shared" si="5"/>
        <v>2</v>
      </c>
      <c r="J11">
        <f t="shared" si="0"/>
        <v>2</v>
      </c>
      <c r="K11">
        <f t="shared" si="1"/>
        <v>2</v>
      </c>
      <c r="L11">
        <f t="shared" si="2"/>
        <v>2</v>
      </c>
      <c r="M11">
        <f t="shared" si="3"/>
        <v>2</v>
      </c>
      <c r="N11">
        <f t="shared" si="4"/>
        <v>0</v>
      </c>
    </row>
    <row r="12" spans="1:14" x14ac:dyDescent="0.2">
      <c r="A12" t="s">
        <v>15</v>
      </c>
      <c r="B12" t="s">
        <v>58</v>
      </c>
      <c r="C12">
        <v>0</v>
      </c>
      <c r="D12">
        <v>0</v>
      </c>
      <c r="E12">
        <v>2</v>
      </c>
      <c r="F12">
        <v>0</v>
      </c>
      <c r="G12">
        <v>7</v>
      </c>
      <c r="H12">
        <f t="shared" si="5"/>
        <v>9</v>
      </c>
      <c r="J12">
        <f t="shared" si="0"/>
        <v>9</v>
      </c>
      <c r="K12">
        <f t="shared" si="1"/>
        <v>9</v>
      </c>
      <c r="L12">
        <f t="shared" si="2"/>
        <v>7</v>
      </c>
      <c r="M12">
        <f t="shared" si="3"/>
        <v>9</v>
      </c>
      <c r="N12">
        <f t="shared" si="4"/>
        <v>2</v>
      </c>
    </row>
    <row r="13" spans="1:14" x14ac:dyDescent="0.2">
      <c r="A13" t="s">
        <v>16</v>
      </c>
      <c r="B13" t="s">
        <v>17</v>
      </c>
      <c r="C13">
        <v>0</v>
      </c>
      <c r="D13">
        <v>1</v>
      </c>
      <c r="E13">
        <v>22</v>
      </c>
      <c r="F13">
        <v>23</v>
      </c>
      <c r="G13">
        <v>24</v>
      </c>
      <c r="H13">
        <f t="shared" si="5"/>
        <v>70</v>
      </c>
      <c r="J13">
        <f t="shared" si="0"/>
        <v>70</v>
      </c>
      <c r="K13">
        <f t="shared" si="1"/>
        <v>69</v>
      </c>
      <c r="L13">
        <f t="shared" si="2"/>
        <v>48</v>
      </c>
      <c r="M13">
        <f t="shared" si="3"/>
        <v>47</v>
      </c>
      <c r="N13">
        <f t="shared" si="4"/>
        <v>46</v>
      </c>
    </row>
    <row r="14" spans="1:14" x14ac:dyDescent="0.2">
      <c r="A14" t="s">
        <v>16</v>
      </c>
      <c r="B14" t="s">
        <v>18</v>
      </c>
      <c r="C14">
        <v>0</v>
      </c>
      <c r="D14">
        <v>1</v>
      </c>
      <c r="E14">
        <v>24</v>
      </c>
      <c r="F14">
        <v>22</v>
      </c>
      <c r="G14">
        <v>23</v>
      </c>
      <c r="H14">
        <f t="shared" si="5"/>
        <v>70</v>
      </c>
      <c r="J14">
        <f t="shared" si="0"/>
        <v>70</v>
      </c>
      <c r="K14">
        <f t="shared" si="1"/>
        <v>69</v>
      </c>
      <c r="L14">
        <f t="shared" si="2"/>
        <v>46</v>
      </c>
      <c r="M14">
        <f t="shared" si="3"/>
        <v>48</v>
      </c>
      <c r="N14">
        <f t="shared" si="4"/>
        <v>47</v>
      </c>
    </row>
    <row r="15" spans="1:14" x14ac:dyDescent="0.2">
      <c r="A15" t="s">
        <v>19</v>
      </c>
      <c r="B15" t="s">
        <v>20</v>
      </c>
      <c r="C15">
        <v>0</v>
      </c>
      <c r="D15">
        <v>1</v>
      </c>
      <c r="E15">
        <v>24</v>
      </c>
      <c r="F15">
        <v>1</v>
      </c>
      <c r="G15">
        <v>1</v>
      </c>
      <c r="H15">
        <f t="shared" si="5"/>
        <v>27</v>
      </c>
      <c r="J15">
        <f t="shared" si="0"/>
        <v>27</v>
      </c>
      <c r="K15">
        <f t="shared" si="1"/>
        <v>26</v>
      </c>
      <c r="L15">
        <f t="shared" si="2"/>
        <v>3</v>
      </c>
      <c r="M15">
        <f t="shared" si="3"/>
        <v>26</v>
      </c>
      <c r="N15">
        <f t="shared" si="4"/>
        <v>26</v>
      </c>
    </row>
    <row r="16" spans="1:14" x14ac:dyDescent="0.2">
      <c r="A16" t="s">
        <v>19</v>
      </c>
      <c r="B16" t="s">
        <v>21</v>
      </c>
      <c r="C16">
        <v>0</v>
      </c>
      <c r="D16">
        <v>1</v>
      </c>
      <c r="E16">
        <v>8</v>
      </c>
      <c r="F16">
        <v>1</v>
      </c>
      <c r="G16">
        <v>11</v>
      </c>
      <c r="H16">
        <f t="shared" si="5"/>
        <v>21</v>
      </c>
      <c r="J16">
        <f t="shared" si="0"/>
        <v>21</v>
      </c>
      <c r="K16">
        <f t="shared" si="1"/>
        <v>20</v>
      </c>
      <c r="L16">
        <f t="shared" si="2"/>
        <v>13</v>
      </c>
      <c r="M16">
        <f t="shared" si="3"/>
        <v>20</v>
      </c>
      <c r="N16">
        <f t="shared" si="4"/>
        <v>10</v>
      </c>
    </row>
    <row r="17" spans="1:14" x14ac:dyDescent="0.2">
      <c r="A17" t="s">
        <v>22</v>
      </c>
      <c r="B17" t="s">
        <v>20</v>
      </c>
      <c r="C17">
        <v>0</v>
      </c>
      <c r="D17">
        <v>1</v>
      </c>
      <c r="E17">
        <v>23</v>
      </c>
      <c r="F17">
        <v>0</v>
      </c>
      <c r="G17">
        <v>0</v>
      </c>
      <c r="H17">
        <f t="shared" si="5"/>
        <v>24</v>
      </c>
      <c r="J17">
        <f t="shared" si="0"/>
        <v>24</v>
      </c>
      <c r="K17">
        <f t="shared" si="1"/>
        <v>23</v>
      </c>
      <c r="L17">
        <f t="shared" si="2"/>
        <v>1</v>
      </c>
      <c r="M17">
        <f t="shared" si="3"/>
        <v>24</v>
      </c>
      <c r="N17">
        <f t="shared" si="4"/>
        <v>24</v>
      </c>
    </row>
    <row r="18" spans="1:14" x14ac:dyDescent="0.2">
      <c r="A18" t="s">
        <v>22</v>
      </c>
      <c r="B18" t="s">
        <v>21</v>
      </c>
      <c r="C18">
        <v>0</v>
      </c>
      <c r="D18">
        <v>0</v>
      </c>
      <c r="E18">
        <v>9</v>
      </c>
      <c r="F18">
        <v>0</v>
      </c>
      <c r="G18">
        <v>6</v>
      </c>
      <c r="H18">
        <f t="shared" si="5"/>
        <v>15</v>
      </c>
      <c r="J18">
        <f t="shared" si="0"/>
        <v>15</v>
      </c>
      <c r="K18">
        <f t="shared" si="1"/>
        <v>15</v>
      </c>
      <c r="L18">
        <f t="shared" si="2"/>
        <v>6</v>
      </c>
      <c r="M18">
        <f t="shared" si="3"/>
        <v>15</v>
      </c>
      <c r="N18">
        <f t="shared" si="4"/>
        <v>9</v>
      </c>
    </row>
    <row r="19" spans="1:14" x14ac:dyDescent="0.2">
      <c r="A19" t="s">
        <v>23</v>
      </c>
      <c r="B19" t="s">
        <v>20</v>
      </c>
      <c r="C19">
        <v>0</v>
      </c>
      <c r="D19">
        <v>0</v>
      </c>
      <c r="E19">
        <v>24</v>
      </c>
      <c r="F19">
        <v>10</v>
      </c>
      <c r="G19">
        <v>1</v>
      </c>
      <c r="H19">
        <f t="shared" si="5"/>
        <v>35</v>
      </c>
      <c r="J19">
        <f t="shared" si="0"/>
        <v>35</v>
      </c>
      <c r="K19">
        <f t="shared" si="1"/>
        <v>35</v>
      </c>
      <c r="L19">
        <f t="shared" si="2"/>
        <v>11</v>
      </c>
      <c r="M19">
        <f t="shared" si="3"/>
        <v>25</v>
      </c>
      <c r="N19">
        <f t="shared" si="4"/>
        <v>34</v>
      </c>
    </row>
    <row r="20" spans="1:14" x14ac:dyDescent="0.2">
      <c r="A20" t="s">
        <v>23</v>
      </c>
      <c r="B20" t="s">
        <v>21</v>
      </c>
      <c r="C20">
        <v>0</v>
      </c>
      <c r="D20">
        <v>0</v>
      </c>
      <c r="E20">
        <v>11</v>
      </c>
      <c r="F20">
        <v>0</v>
      </c>
      <c r="G20">
        <v>4</v>
      </c>
      <c r="H20">
        <f t="shared" si="5"/>
        <v>15</v>
      </c>
      <c r="J20">
        <f t="shared" si="0"/>
        <v>15</v>
      </c>
      <c r="K20">
        <f t="shared" si="1"/>
        <v>15</v>
      </c>
      <c r="L20">
        <f t="shared" si="2"/>
        <v>4</v>
      </c>
      <c r="M20">
        <f t="shared" si="3"/>
        <v>15</v>
      </c>
      <c r="N20">
        <f t="shared" si="4"/>
        <v>11</v>
      </c>
    </row>
    <row r="21" spans="1:14" x14ac:dyDescent="0.2">
      <c r="A21" t="s">
        <v>24</v>
      </c>
      <c r="B21" t="s">
        <v>20</v>
      </c>
      <c r="C21">
        <v>0</v>
      </c>
      <c r="D21">
        <v>0</v>
      </c>
      <c r="E21">
        <v>24</v>
      </c>
      <c r="F21">
        <v>0</v>
      </c>
      <c r="G21">
        <v>2</v>
      </c>
      <c r="H21">
        <f t="shared" si="5"/>
        <v>26</v>
      </c>
      <c r="J21">
        <f t="shared" si="0"/>
        <v>26</v>
      </c>
      <c r="K21">
        <f t="shared" si="1"/>
        <v>26</v>
      </c>
      <c r="L21">
        <f t="shared" si="2"/>
        <v>2</v>
      </c>
      <c r="M21">
        <f t="shared" si="3"/>
        <v>26</v>
      </c>
      <c r="N21">
        <f t="shared" si="4"/>
        <v>24</v>
      </c>
    </row>
    <row r="22" spans="1:14" x14ac:dyDescent="0.2">
      <c r="A22" t="s">
        <v>24</v>
      </c>
      <c r="B22" t="s">
        <v>21</v>
      </c>
      <c r="C22">
        <v>0</v>
      </c>
      <c r="D22">
        <v>0</v>
      </c>
      <c r="E22">
        <v>3</v>
      </c>
      <c r="F22">
        <v>0</v>
      </c>
      <c r="G22">
        <v>7</v>
      </c>
      <c r="H22">
        <f t="shared" si="5"/>
        <v>10</v>
      </c>
      <c r="J22">
        <f t="shared" si="0"/>
        <v>10</v>
      </c>
      <c r="K22">
        <f t="shared" si="1"/>
        <v>10</v>
      </c>
      <c r="L22">
        <f t="shared" si="2"/>
        <v>7</v>
      </c>
      <c r="M22">
        <f t="shared" si="3"/>
        <v>10</v>
      </c>
      <c r="N22">
        <f t="shared" si="4"/>
        <v>3</v>
      </c>
    </row>
    <row r="23" spans="1:14" x14ac:dyDescent="0.2">
      <c r="A23" t="s">
        <v>25</v>
      </c>
      <c r="B23" t="s">
        <v>20</v>
      </c>
      <c r="C23">
        <v>0</v>
      </c>
      <c r="D23">
        <v>1</v>
      </c>
      <c r="E23">
        <v>23</v>
      </c>
      <c r="F23">
        <v>0</v>
      </c>
      <c r="G23">
        <v>2</v>
      </c>
      <c r="H23">
        <f t="shared" si="5"/>
        <v>26</v>
      </c>
      <c r="J23">
        <f t="shared" si="0"/>
        <v>26</v>
      </c>
      <c r="K23">
        <f t="shared" si="1"/>
        <v>25</v>
      </c>
      <c r="L23">
        <f t="shared" si="2"/>
        <v>3</v>
      </c>
      <c r="M23">
        <f t="shared" si="3"/>
        <v>26</v>
      </c>
      <c r="N23">
        <f t="shared" si="4"/>
        <v>24</v>
      </c>
    </row>
    <row r="24" spans="1:14" x14ac:dyDescent="0.2">
      <c r="A24" t="s">
        <v>25</v>
      </c>
      <c r="B24" t="s">
        <v>21</v>
      </c>
      <c r="C24">
        <v>0</v>
      </c>
      <c r="D24">
        <v>0</v>
      </c>
      <c r="E24">
        <v>6</v>
      </c>
      <c r="F24">
        <v>1</v>
      </c>
      <c r="G24">
        <v>5</v>
      </c>
      <c r="H24">
        <f t="shared" si="5"/>
        <v>12</v>
      </c>
      <c r="J24">
        <f t="shared" si="0"/>
        <v>12</v>
      </c>
      <c r="K24">
        <f t="shared" si="1"/>
        <v>12</v>
      </c>
      <c r="L24">
        <f t="shared" si="2"/>
        <v>6</v>
      </c>
      <c r="M24">
        <f t="shared" si="3"/>
        <v>11</v>
      </c>
      <c r="N24">
        <f t="shared" si="4"/>
        <v>7</v>
      </c>
    </row>
    <row r="25" spans="1:14" x14ac:dyDescent="0.2">
      <c r="A25" t="s">
        <v>26</v>
      </c>
      <c r="B25" t="s">
        <v>20</v>
      </c>
      <c r="C25">
        <v>0</v>
      </c>
      <c r="D25">
        <v>0</v>
      </c>
      <c r="E25">
        <v>0</v>
      </c>
      <c r="F25">
        <v>22</v>
      </c>
      <c r="G25">
        <v>3</v>
      </c>
      <c r="H25">
        <f t="shared" si="5"/>
        <v>25</v>
      </c>
      <c r="J25">
        <f t="shared" si="0"/>
        <v>25</v>
      </c>
      <c r="K25">
        <f t="shared" si="1"/>
        <v>25</v>
      </c>
      <c r="L25">
        <f t="shared" si="2"/>
        <v>25</v>
      </c>
      <c r="M25">
        <f t="shared" si="3"/>
        <v>3</v>
      </c>
      <c r="N25">
        <f t="shared" si="4"/>
        <v>22</v>
      </c>
    </row>
    <row r="26" spans="1:14" x14ac:dyDescent="0.2">
      <c r="A26" t="s">
        <v>26</v>
      </c>
      <c r="B26" t="s">
        <v>21</v>
      </c>
      <c r="C26">
        <v>0</v>
      </c>
      <c r="D26">
        <v>0</v>
      </c>
      <c r="E26">
        <v>0</v>
      </c>
      <c r="F26">
        <v>2</v>
      </c>
      <c r="G26">
        <v>22</v>
      </c>
      <c r="H26">
        <f t="shared" si="5"/>
        <v>24</v>
      </c>
      <c r="J26">
        <f t="shared" si="0"/>
        <v>24</v>
      </c>
      <c r="K26">
        <f t="shared" si="1"/>
        <v>24</v>
      </c>
      <c r="L26">
        <f t="shared" si="2"/>
        <v>24</v>
      </c>
      <c r="M26">
        <f t="shared" si="3"/>
        <v>22</v>
      </c>
      <c r="N26">
        <f t="shared" si="4"/>
        <v>2</v>
      </c>
    </row>
    <row r="27" spans="1:14" x14ac:dyDescent="0.2">
      <c r="A27" t="s">
        <v>27</v>
      </c>
      <c r="B27" t="s">
        <v>20</v>
      </c>
      <c r="C27">
        <v>0</v>
      </c>
      <c r="D27">
        <v>2</v>
      </c>
      <c r="E27">
        <v>23</v>
      </c>
      <c r="F27">
        <v>0</v>
      </c>
      <c r="G27">
        <v>0</v>
      </c>
      <c r="H27">
        <f t="shared" si="5"/>
        <v>25</v>
      </c>
      <c r="J27">
        <f t="shared" si="0"/>
        <v>25</v>
      </c>
      <c r="K27">
        <f t="shared" si="1"/>
        <v>23</v>
      </c>
      <c r="L27">
        <f t="shared" si="2"/>
        <v>2</v>
      </c>
      <c r="M27">
        <f t="shared" si="3"/>
        <v>25</v>
      </c>
      <c r="N27">
        <f t="shared" si="4"/>
        <v>25</v>
      </c>
    </row>
    <row r="28" spans="1:14" x14ac:dyDescent="0.2">
      <c r="A28" t="s">
        <v>27</v>
      </c>
      <c r="B28" t="s">
        <v>21</v>
      </c>
      <c r="C28">
        <v>0</v>
      </c>
      <c r="D28">
        <v>1</v>
      </c>
      <c r="E28">
        <v>1</v>
      </c>
      <c r="F28">
        <v>0</v>
      </c>
      <c r="G28">
        <v>1</v>
      </c>
      <c r="H28">
        <f t="shared" si="5"/>
        <v>3</v>
      </c>
      <c r="J28">
        <f t="shared" si="0"/>
        <v>3</v>
      </c>
      <c r="K28">
        <f t="shared" si="1"/>
        <v>2</v>
      </c>
      <c r="L28">
        <f t="shared" si="2"/>
        <v>2</v>
      </c>
      <c r="M28">
        <f t="shared" si="3"/>
        <v>3</v>
      </c>
      <c r="N28">
        <f t="shared" si="4"/>
        <v>2</v>
      </c>
    </row>
    <row r="29" spans="1:14" x14ac:dyDescent="0.2">
      <c r="A29" t="s">
        <v>28</v>
      </c>
      <c r="B29" t="s">
        <v>20</v>
      </c>
      <c r="C29">
        <v>23</v>
      </c>
      <c r="D29">
        <v>0</v>
      </c>
      <c r="E29">
        <v>0</v>
      </c>
      <c r="F29">
        <v>0</v>
      </c>
      <c r="G29">
        <v>0</v>
      </c>
      <c r="H29">
        <f t="shared" si="5"/>
        <v>23</v>
      </c>
      <c r="J29">
        <f t="shared" si="0"/>
        <v>0</v>
      </c>
      <c r="K29">
        <f t="shared" si="1"/>
        <v>23</v>
      </c>
      <c r="L29">
        <f t="shared" si="2"/>
        <v>23</v>
      </c>
      <c r="M29">
        <f t="shared" si="3"/>
        <v>23</v>
      </c>
      <c r="N29">
        <f t="shared" si="4"/>
        <v>23</v>
      </c>
    </row>
    <row r="30" spans="1:14" x14ac:dyDescent="0.2">
      <c r="A30" t="s">
        <v>28</v>
      </c>
      <c r="B30" t="s">
        <v>21</v>
      </c>
      <c r="C30">
        <v>5</v>
      </c>
      <c r="D30">
        <v>2</v>
      </c>
      <c r="E30">
        <v>0</v>
      </c>
      <c r="F30">
        <v>1</v>
      </c>
      <c r="G30">
        <v>0</v>
      </c>
      <c r="H30">
        <f t="shared" si="5"/>
        <v>8</v>
      </c>
      <c r="J30">
        <f t="shared" si="0"/>
        <v>3</v>
      </c>
      <c r="K30">
        <f t="shared" si="1"/>
        <v>6</v>
      </c>
      <c r="L30">
        <f t="shared" si="2"/>
        <v>8</v>
      </c>
      <c r="M30">
        <f t="shared" si="3"/>
        <v>7</v>
      </c>
      <c r="N30">
        <f t="shared" si="4"/>
        <v>8</v>
      </c>
    </row>
    <row r="31" spans="1:14" x14ac:dyDescent="0.2">
      <c r="A31" t="s">
        <v>29</v>
      </c>
      <c r="B31" t="s">
        <v>30</v>
      </c>
      <c r="C31">
        <v>24</v>
      </c>
      <c r="D31">
        <v>0</v>
      </c>
      <c r="E31">
        <v>0</v>
      </c>
      <c r="F31">
        <v>0</v>
      </c>
      <c r="G31">
        <v>0</v>
      </c>
      <c r="H31">
        <f t="shared" si="5"/>
        <v>24</v>
      </c>
      <c r="J31">
        <f t="shared" si="0"/>
        <v>0</v>
      </c>
      <c r="K31">
        <f t="shared" si="1"/>
        <v>24</v>
      </c>
      <c r="L31">
        <f t="shared" si="2"/>
        <v>24</v>
      </c>
      <c r="M31">
        <f t="shared" si="3"/>
        <v>24</v>
      </c>
      <c r="N31">
        <f t="shared" si="4"/>
        <v>24</v>
      </c>
    </row>
    <row r="32" spans="1:14" x14ac:dyDescent="0.2">
      <c r="A32" t="s">
        <v>29</v>
      </c>
      <c r="B32" t="s">
        <v>31</v>
      </c>
      <c r="C32">
        <v>17</v>
      </c>
      <c r="D32">
        <v>0</v>
      </c>
      <c r="E32">
        <v>0</v>
      </c>
      <c r="F32">
        <v>0</v>
      </c>
      <c r="G32">
        <v>0</v>
      </c>
      <c r="H32">
        <f t="shared" si="5"/>
        <v>17</v>
      </c>
      <c r="J32">
        <f t="shared" si="0"/>
        <v>0</v>
      </c>
      <c r="K32">
        <f t="shared" si="1"/>
        <v>17</v>
      </c>
      <c r="L32">
        <f t="shared" si="2"/>
        <v>17</v>
      </c>
      <c r="M32">
        <f t="shared" si="3"/>
        <v>17</v>
      </c>
      <c r="N32">
        <f t="shared" si="4"/>
        <v>17</v>
      </c>
    </row>
    <row r="33" spans="1:14" x14ac:dyDescent="0.2">
      <c r="A33" t="s">
        <v>32</v>
      </c>
      <c r="B33" t="s">
        <v>30</v>
      </c>
      <c r="C33">
        <v>23</v>
      </c>
      <c r="D33">
        <v>0</v>
      </c>
      <c r="E33">
        <v>0</v>
      </c>
      <c r="F33">
        <v>0</v>
      </c>
      <c r="G33">
        <v>0</v>
      </c>
      <c r="H33">
        <f t="shared" si="5"/>
        <v>23</v>
      </c>
      <c r="J33">
        <f t="shared" si="0"/>
        <v>0</v>
      </c>
      <c r="K33">
        <f t="shared" si="1"/>
        <v>23</v>
      </c>
      <c r="L33">
        <f t="shared" si="2"/>
        <v>23</v>
      </c>
      <c r="M33">
        <f t="shared" si="3"/>
        <v>23</v>
      </c>
      <c r="N33">
        <f t="shared" si="4"/>
        <v>23</v>
      </c>
    </row>
    <row r="34" spans="1:14" x14ac:dyDescent="0.2">
      <c r="A34" t="s">
        <v>32</v>
      </c>
      <c r="B34" t="s">
        <v>31</v>
      </c>
      <c r="C34">
        <v>23</v>
      </c>
      <c r="D34">
        <v>0</v>
      </c>
      <c r="E34">
        <v>0</v>
      </c>
      <c r="F34">
        <v>0</v>
      </c>
      <c r="G34">
        <v>0</v>
      </c>
      <c r="H34">
        <f t="shared" si="5"/>
        <v>23</v>
      </c>
      <c r="J34">
        <f t="shared" si="0"/>
        <v>0</v>
      </c>
      <c r="K34">
        <f t="shared" si="1"/>
        <v>23</v>
      </c>
      <c r="L34">
        <f t="shared" si="2"/>
        <v>23</v>
      </c>
      <c r="M34">
        <f t="shared" si="3"/>
        <v>23</v>
      </c>
      <c r="N34">
        <f t="shared" si="4"/>
        <v>23</v>
      </c>
    </row>
    <row r="35" spans="1:14" x14ac:dyDescent="0.2">
      <c r="A35" t="s">
        <v>33</v>
      </c>
      <c r="B35" t="s">
        <v>30</v>
      </c>
      <c r="C35">
        <v>24</v>
      </c>
      <c r="D35">
        <v>0</v>
      </c>
      <c r="E35">
        <v>0</v>
      </c>
      <c r="F35">
        <v>0</v>
      </c>
      <c r="G35">
        <v>0</v>
      </c>
      <c r="H35">
        <f t="shared" si="5"/>
        <v>24</v>
      </c>
      <c r="J35">
        <f t="shared" si="0"/>
        <v>0</v>
      </c>
      <c r="K35">
        <f t="shared" si="1"/>
        <v>24</v>
      </c>
      <c r="L35">
        <f t="shared" si="2"/>
        <v>24</v>
      </c>
      <c r="M35">
        <f t="shared" si="3"/>
        <v>24</v>
      </c>
      <c r="N35">
        <f t="shared" si="4"/>
        <v>24</v>
      </c>
    </row>
    <row r="36" spans="1:14" x14ac:dyDescent="0.2">
      <c r="A36" t="s">
        <v>33</v>
      </c>
      <c r="B36" t="s">
        <v>31</v>
      </c>
      <c r="C36">
        <v>24</v>
      </c>
      <c r="D36">
        <v>0</v>
      </c>
      <c r="E36">
        <v>0</v>
      </c>
      <c r="F36">
        <v>0</v>
      </c>
      <c r="G36">
        <v>0</v>
      </c>
      <c r="H36">
        <f t="shared" si="5"/>
        <v>24</v>
      </c>
      <c r="J36">
        <f t="shared" si="0"/>
        <v>0</v>
      </c>
      <c r="K36">
        <f t="shared" si="1"/>
        <v>24</v>
      </c>
      <c r="L36">
        <f t="shared" si="2"/>
        <v>24</v>
      </c>
      <c r="M36">
        <f t="shared" si="3"/>
        <v>24</v>
      </c>
      <c r="N36">
        <f t="shared" si="4"/>
        <v>24</v>
      </c>
    </row>
    <row r="37" spans="1:14" x14ac:dyDescent="0.2">
      <c r="A37" t="s">
        <v>34</v>
      </c>
      <c r="B37" t="s">
        <v>30</v>
      </c>
      <c r="C37">
        <v>19</v>
      </c>
      <c r="D37">
        <v>0</v>
      </c>
      <c r="E37">
        <v>0</v>
      </c>
      <c r="F37">
        <v>0</v>
      </c>
      <c r="G37">
        <v>0</v>
      </c>
      <c r="H37">
        <f t="shared" si="5"/>
        <v>19</v>
      </c>
      <c r="J37">
        <f t="shared" si="0"/>
        <v>0</v>
      </c>
      <c r="K37">
        <f t="shared" si="1"/>
        <v>19</v>
      </c>
      <c r="L37">
        <f t="shared" si="2"/>
        <v>19</v>
      </c>
      <c r="M37">
        <f t="shared" si="3"/>
        <v>19</v>
      </c>
      <c r="N37">
        <f t="shared" si="4"/>
        <v>19</v>
      </c>
    </row>
    <row r="38" spans="1:14" x14ac:dyDescent="0.2">
      <c r="A38" t="s">
        <v>34</v>
      </c>
      <c r="B38" t="s">
        <v>31</v>
      </c>
      <c r="C38">
        <v>19</v>
      </c>
      <c r="D38">
        <v>0</v>
      </c>
      <c r="E38">
        <v>0</v>
      </c>
      <c r="F38">
        <v>0</v>
      </c>
      <c r="G38">
        <v>0</v>
      </c>
      <c r="H38">
        <f t="shared" si="5"/>
        <v>19</v>
      </c>
      <c r="J38">
        <f t="shared" si="0"/>
        <v>0</v>
      </c>
      <c r="K38">
        <f t="shared" si="1"/>
        <v>19</v>
      </c>
      <c r="L38">
        <f t="shared" si="2"/>
        <v>19</v>
      </c>
      <c r="M38">
        <f t="shared" si="3"/>
        <v>19</v>
      </c>
      <c r="N38">
        <f t="shared" si="4"/>
        <v>19</v>
      </c>
    </row>
    <row r="39" spans="1:14" x14ac:dyDescent="0.2">
      <c r="A39" t="s">
        <v>35</v>
      </c>
      <c r="B39" t="s">
        <v>30</v>
      </c>
      <c r="C39">
        <v>24</v>
      </c>
      <c r="D39">
        <v>23</v>
      </c>
      <c r="E39">
        <v>1</v>
      </c>
      <c r="F39">
        <v>24</v>
      </c>
      <c r="G39">
        <v>20</v>
      </c>
      <c r="H39">
        <f t="shared" si="5"/>
        <v>92</v>
      </c>
      <c r="J39">
        <f t="shared" si="0"/>
        <v>68</v>
      </c>
      <c r="K39">
        <f t="shared" si="1"/>
        <v>69</v>
      </c>
      <c r="L39">
        <f t="shared" si="2"/>
        <v>91</v>
      </c>
      <c r="M39">
        <f t="shared" si="3"/>
        <v>68</v>
      </c>
      <c r="N39">
        <f t="shared" si="4"/>
        <v>72</v>
      </c>
    </row>
    <row r="40" spans="1:14" x14ac:dyDescent="0.2">
      <c r="A40" t="s">
        <v>35</v>
      </c>
      <c r="B40" t="s">
        <v>31</v>
      </c>
      <c r="C40">
        <v>24</v>
      </c>
      <c r="D40">
        <v>14</v>
      </c>
      <c r="E40">
        <v>1</v>
      </c>
      <c r="F40">
        <v>24</v>
      </c>
      <c r="G40">
        <v>17</v>
      </c>
      <c r="H40">
        <f t="shared" si="5"/>
        <v>80</v>
      </c>
      <c r="J40">
        <f t="shared" si="0"/>
        <v>56</v>
      </c>
      <c r="K40">
        <f t="shared" si="1"/>
        <v>66</v>
      </c>
      <c r="L40">
        <f t="shared" si="2"/>
        <v>79</v>
      </c>
      <c r="M40">
        <f t="shared" si="3"/>
        <v>56</v>
      </c>
      <c r="N40">
        <f t="shared" si="4"/>
        <v>63</v>
      </c>
    </row>
    <row r="41" spans="1:14" x14ac:dyDescent="0.2">
      <c r="A41" t="s">
        <v>36</v>
      </c>
      <c r="B41" t="s">
        <v>30</v>
      </c>
      <c r="C41">
        <v>24</v>
      </c>
      <c r="D41">
        <v>24</v>
      </c>
      <c r="E41">
        <v>1</v>
      </c>
      <c r="F41">
        <v>24</v>
      </c>
      <c r="G41">
        <v>24</v>
      </c>
      <c r="H41">
        <f t="shared" si="5"/>
        <v>97</v>
      </c>
      <c r="J41">
        <f t="shared" si="0"/>
        <v>73</v>
      </c>
      <c r="K41">
        <f t="shared" si="1"/>
        <v>73</v>
      </c>
      <c r="L41">
        <f t="shared" si="2"/>
        <v>96</v>
      </c>
      <c r="M41">
        <f t="shared" si="3"/>
        <v>73</v>
      </c>
      <c r="N41">
        <f t="shared" si="4"/>
        <v>73</v>
      </c>
    </row>
    <row r="42" spans="1:14" x14ac:dyDescent="0.2">
      <c r="A42" t="s">
        <v>36</v>
      </c>
      <c r="B42" t="s">
        <v>31</v>
      </c>
      <c r="C42">
        <v>24</v>
      </c>
      <c r="D42">
        <v>19</v>
      </c>
      <c r="E42">
        <v>1</v>
      </c>
      <c r="F42">
        <v>24</v>
      </c>
      <c r="G42">
        <v>22</v>
      </c>
      <c r="H42">
        <f t="shared" si="5"/>
        <v>90</v>
      </c>
      <c r="J42">
        <f t="shared" si="0"/>
        <v>66</v>
      </c>
      <c r="K42">
        <f t="shared" si="1"/>
        <v>71</v>
      </c>
      <c r="L42">
        <f t="shared" si="2"/>
        <v>89</v>
      </c>
      <c r="M42">
        <f t="shared" si="3"/>
        <v>66</v>
      </c>
      <c r="N42">
        <f t="shared" si="4"/>
        <v>68</v>
      </c>
    </row>
    <row r="43" spans="1:14" x14ac:dyDescent="0.2">
      <c r="A43" t="s">
        <v>37</v>
      </c>
      <c r="B43" t="s">
        <v>30</v>
      </c>
      <c r="C43">
        <v>2</v>
      </c>
      <c r="D43">
        <v>24</v>
      </c>
      <c r="E43">
        <v>1</v>
      </c>
      <c r="F43">
        <v>24</v>
      </c>
      <c r="G43">
        <v>24</v>
      </c>
      <c r="H43">
        <f t="shared" si="5"/>
        <v>75</v>
      </c>
      <c r="J43">
        <f t="shared" si="0"/>
        <v>73</v>
      </c>
      <c r="K43">
        <f t="shared" si="1"/>
        <v>51</v>
      </c>
      <c r="L43">
        <f t="shared" si="2"/>
        <v>74</v>
      </c>
      <c r="M43">
        <f t="shared" si="3"/>
        <v>51</v>
      </c>
      <c r="N43">
        <f t="shared" si="4"/>
        <v>51</v>
      </c>
    </row>
    <row r="44" spans="1:14" x14ac:dyDescent="0.2">
      <c r="A44" t="s">
        <v>37</v>
      </c>
      <c r="B44" t="s">
        <v>31</v>
      </c>
      <c r="C44">
        <v>2</v>
      </c>
      <c r="D44">
        <v>23</v>
      </c>
      <c r="E44">
        <v>1</v>
      </c>
      <c r="F44">
        <v>24</v>
      </c>
      <c r="G44">
        <v>24</v>
      </c>
      <c r="H44">
        <f t="shared" si="5"/>
        <v>74</v>
      </c>
      <c r="J44">
        <f t="shared" si="0"/>
        <v>72</v>
      </c>
      <c r="K44">
        <f t="shared" si="1"/>
        <v>51</v>
      </c>
      <c r="L44">
        <f t="shared" si="2"/>
        <v>73</v>
      </c>
      <c r="M44">
        <f t="shared" si="3"/>
        <v>50</v>
      </c>
      <c r="N44">
        <f t="shared" si="4"/>
        <v>50</v>
      </c>
    </row>
    <row r="45" spans="1:14" x14ac:dyDescent="0.2">
      <c r="A45" t="s">
        <v>38</v>
      </c>
      <c r="B45" t="s">
        <v>30</v>
      </c>
      <c r="C45">
        <v>2</v>
      </c>
      <c r="D45">
        <v>24</v>
      </c>
      <c r="E45">
        <v>4</v>
      </c>
      <c r="F45">
        <v>24</v>
      </c>
      <c r="G45">
        <v>24</v>
      </c>
      <c r="H45">
        <f t="shared" si="5"/>
        <v>78</v>
      </c>
      <c r="J45">
        <f t="shared" si="0"/>
        <v>76</v>
      </c>
      <c r="K45">
        <f t="shared" si="1"/>
        <v>54</v>
      </c>
      <c r="L45">
        <f t="shared" si="2"/>
        <v>74</v>
      </c>
      <c r="M45">
        <f t="shared" si="3"/>
        <v>54</v>
      </c>
      <c r="N45">
        <f t="shared" si="4"/>
        <v>54</v>
      </c>
    </row>
    <row r="46" spans="1:14" x14ac:dyDescent="0.2">
      <c r="A46" t="s">
        <v>38</v>
      </c>
      <c r="B46" t="s">
        <v>31</v>
      </c>
      <c r="C46">
        <v>2</v>
      </c>
      <c r="D46">
        <v>24</v>
      </c>
      <c r="E46">
        <v>4</v>
      </c>
      <c r="F46">
        <v>24</v>
      </c>
      <c r="G46">
        <v>24</v>
      </c>
      <c r="H46">
        <f t="shared" si="5"/>
        <v>78</v>
      </c>
      <c r="J46">
        <f t="shared" si="0"/>
        <v>76</v>
      </c>
      <c r="K46">
        <f t="shared" si="1"/>
        <v>54</v>
      </c>
      <c r="L46">
        <f t="shared" si="2"/>
        <v>74</v>
      </c>
      <c r="M46">
        <f t="shared" si="3"/>
        <v>54</v>
      </c>
      <c r="N46">
        <f t="shared" si="4"/>
        <v>54</v>
      </c>
    </row>
    <row r="47" spans="1:14" x14ac:dyDescent="0.2">
      <c r="A47" t="s">
        <v>39</v>
      </c>
      <c r="B47" t="s">
        <v>30</v>
      </c>
      <c r="C47">
        <v>1</v>
      </c>
      <c r="D47">
        <v>24</v>
      </c>
      <c r="E47">
        <v>24</v>
      </c>
      <c r="F47">
        <v>24</v>
      </c>
      <c r="G47">
        <v>24</v>
      </c>
      <c r="H47">
        <f t="shared" si="5"/>
        <v>97</v>
      </c>
      <c r="J47">
        <f t="shared" si="0"/>
        <v>96</v>
      </c>
      <c r="K47">
        <f t="shared" si="1"/>
        <v>73</v>
      </c>
      <c r="L47">
        <f t="shared" si="2"/>
        <v>73</v>
      </c>
      <c r="M47">
        <f t="shared" si="3"/>
        <v>73</v>
      </c>
      <c r="N47">
        <f t="shared" si="4"/>
        <v>73</v>
      </c>
    </row>
    <row r="48" spans="1:14" x14ac:dyDescent="0.2">
      <c r="A48" t="s">
        <v>39</v>
      </c>
      <c r="B48" t="s">
        <v>31</v>
      </c>
      <c r="C48">
        <v>1</v>
      </c>
      <c r="D48">
        <v>24</v>
      </c>
      <c r="E48">
        <v>24</v>
      </c>
      <c r="F48">
        <v>24</v>
      </c>
      <c r="G48">
        <v>24</v>
      </c>
      <c r="H48">
        <f t="shared" si="5"/>
        <v>97</v>
      </c>
      <c r="J48">
        <f t="shared" si="0"/>
        <v>96</v>
      </c>
      <c r="K48">
        <f t="shared" si="1"/>
        <v>73</v>
      </c>
      <c r="L48">
        <f t="shared" si="2"/>
        <v>73</v>
      </c>
      <c r="M48">
        <f t="shared" si="3"/>
        <v>73</v>
      </c>
      <c r="N48">
        <f t="shared" si="4"/>
        <v>73</v>
      </c>
    </row>
    <row r="49" spans="1:14" x14ac:dyDescent="0.2">
      <c r="A49" t="s">
        <v>40</v>
      </c>
      <c r="B49" t="s">
        <v>30</v>
      </c>
      <c r="C49">
        <v>1</v>
      </c>
      <c r="D49">
        <v>11</v>
      </c>
      <c r="E49">
        <v>12</v>
      </c>
      <c r="F49">
        <v>4</v>
      </c>
      <c r="G49">
        <v>24</v>
      </c>
      <c r="H49">
        <f t="shared" si="5"/>
        <v>52</v>
      </c>
      <c r="J49">
        <f t="shared" si="0"/>
        <v>51</v>
      </c>
      <c r="K49">
        <f t="shared" si="1"/>
        <v>41</v>
      </c>
      <c r="L49">
        <f t="shared" si="2"/>
        <v>40</v>
      </c>
      <c r="M49">
        <f t="shared" si="3"/>
        <v>48</v>
      </c>
      <c r="N49">
        <f t="shared" si="4"/>
        <v>28</v>
      </c>
    </row>
    <row r="50" spans="1:14" x14ac:dyDescent="0.2">
      <c r="A50" t="s">
        <v>40</v>
      </c>
      <c r="B50" t="s">
        <v>31</v>
      </c>
      <c r="C50">
        <v>1</v>
      </c>
      <c r="D50">
        <v>20</v>
      </c>
      <c r="E50">
        <v>11</v>
      </c>
      <c r="F50">
        <v>4</v>
      </c>
      <c r="G50">
        <v>24</v>
      </c>
      <c r="H50">
        <f t="shared" si="5"/>
        <v>60</v>
      </c>
      <c r="J50">
        <f t="shared" si="0"/>
        <v>59</v>
      </c>
      <c r="K50">
        <f t="shared" si="1"/>
        <v>40</v>
      </c>
      <c r="L50">
        <f t="shared" si="2"/>
        <v>49</v>
      </c>
      <c r="M50">
        <f t="shared" si="3"/>
        <v>56</v>
      </c>
      <c r="N50">
        <f t="shared" si="4"/>
        <v>36</v>
      </c>
    </row>
    <row r="51" spans="1:14" x14ac:dyDescent="0.2">
      <c r="A51" t="s">
        <v>41</v>
      </c>
      <c r="B51" t="s">
        <v>30</v>
      </c>
      <c r="C51">
        <v>22</v>
      </c>
      <c r="D51">
        <v>0</v>
      </c>
      <c r="E51">
        <v>0</v>
      </c>
      <c r="F51">
        <v>0</v>
      </c>
      <c r="G51">
        <v>0</v>
      </c>
      <c r="H51">
        <f t="shared" si="5"/>
        <v>22</v>
      </c>
      <c r="J51">
        <f t="shared" si="0"/>
        <v>0</v>
      </c>
      <c r="K51">
        <f t="shared" si="1"/>
        <v>22</v>
      </c>
      <c r="L51">
        <f t="shared" si="2"/>
        <v>22</v>
      </c>
      <c r="M51">
        <f t="shared" si="3"/>
        <v>22</v>
      </c>
      <c r="N51">
        <f t="shared" si="4"/>
        <v>22</v>
      </c>
    </row>
    <row r="52" spans="1:14" x14ac:dyDescent="0.2">
      <c r="A52" t="s">
        <v>41</v>
      </c>
      <c r="B52" t="s">
        <v>31</v>
      </c>
      <c r="C52">
        <v>14</v>
      </c>
      <c r="D52">
        <v>0</v>
      </c>
      <c r="E52">
        <v>0</v>
      </c>
      <c r="F52">
        <v>0</v>
      </c>
      <c r="G52">
        <v>0</v>
      </c>
      <c r="H52">
        <f t="shared" si="5"/>
        <v>14</v>
      </c>
      <c r="J52">
        <f t="shared" si="0"/>
        <v>0</v>
      </c>
      <c r="K52">
        <f t="shared" si="1"/>
        <v>14</v>
      </c>
      <c r="L52">
        <f t="shared" si="2"/>
        <v>14</v>
      </c>
      <c r="M52">
        <f t="shared" si="3"/>
        <v>14</v>
      </c>
      <c r="N52">
        <f t="shared" si="4"/>
        <v>14</v>
      </c>
    </row>
    <row r="53" spans="1:14" x14ac:dyDescent="0.2">
      <c r="A53" t="s">
        <v>42</v>
      </c>
      <c r="B53" t="s">
        <v>43</v>
      </c>
      <c r="C53">
        <v>24</v>
      </c>
      <c r="D53">
        <v>0</v>
      </c>
      <c r="E53">
        <v>0</v>
      </c>
      <c r="F53">
        <v>0</v>
      </c>
      <c r="G53">
        <v>0</v>
      </c>
      <c r="H53">
        <f t="shared" si="5"/>
        <v>24</v>
      </c>
      <c r="J53">
        <f t="shared" si="0"/>
        <v>0</v>
      </c>
      <c r="K53">
        <f t="shared" si="1"/>
        <v>24</v>
      </c>
      <c r="L53">
        <f t="shared" si="2"/>
        <v>24</v>
      </c>
      <c r="M53">
        <f t="shared" si="3"/>
        <v>24</v>
      </c>
      <c r="N53">
        <f t="shared" si="4"/>
        <v>24</v>
      </c>
    </row>
    <row r="54" spans="1:14" x14ac:dyDescent="0.2">
      <c r="A54" t="s">
        <v>42</v>
      </c>
      <c r="B54" t="s">
        <v>44</v>
      </c>
      <c r="C54">
        <v>24</v>
      </c>
      <c r="D54">
        <v>0</v>
      </c>
      <c r="E54">
        <v>0</v>
      </c>
      <c r="F54">
        <v>0</v>
      </c>
      <c r="G54">
        <v>0</v>
      </c>
      <c r="H54">
        <f t="shared" si="5"/>
        <v>24</v>
      </c>
      <c r="J54">
        <f t="shared" si="0"/>
        <v>0</v>
      </c>
      <c r="K54">
        <f t="shared" si="1"/>
        <v>24</v>
      </c>
      <c r="L54">
        <f t="shared" si="2"/>
        <v>24</v>
      </c>
      <c r="M54">
        <f t="shared" si="3"/>
        <v>24</v>
      </c>
      <c r="N54">
        <f t="shared" si="4"/>
        <v>24</v>
      </c>
    </row>
    <row r="55" spans="1:14" x14ac:dyDescent="0.2">
      <c r="A55" t="s">
        <v>46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f t="shared" si="5"/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  <c r="N55">
        <f t="shared" si="4"/>
        <v>0</v>
      </c>
    </row>
    <row r="56" spans="1:14" x14ac:dyDescent="0.2">
      <c r="A56" t="s">
        <v>47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f t="shared" si="5"/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  <c r="N56">
        <f t="shared" si="4"/>
        <v>0</v>
      </c>
    </row>
    <row r="57" spans="1:14" x14ac:dyDescent="0.2">
      <c r="A57" t="s">
        <v>48</v>
      </c>
      <c r="B57" t="s">
        <v>31</v>
      </c>
      <c r="C57">
        <v>0</v>
      </c>
      <c r="D57">
        <v>0</v>
      </c>
      <c r="E57">
        <v>0</v>
      </c>
      <c r="F57">
        <v>0</v>
      </c>
      <c r="G57">
        <v>0</v>
      </c>
      <c r="H57">
        <f t="shared" si="5"/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  <c r="N57">
        <f t="shared" si="4"/>
        <v>0</v>
      </c>
    </row>
    <row r="58" spans="1:14" x14ac:dyDescent="0.2">
      <c r="A58" t="s">
        <v>48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f t="shared" si="5"/>
        <v>0</v>
      </c>
      <c r="J58">
        <f t="shared" si="0"/>
        <v>0</v>
      </c>
      <c r="K58">
        <f t="shared" si="1"/>
        <v>0</v>
      </c>
      <c r="L58">
        <f t="shared" si="2"/>
        <v>0</v>
      </c>
      <c r="M58">
        <f t="shared" si="3"/>
        <v>0</v>
      </c>
      <c r="N58">
        <f t="shared" si="4"/>
        <v>0</v>
      </c>
    </row>
    <row r="59" spans="1:14" x14ac:dyDescent="0.2">
      <c r="A59" t="s">
        <v>49</v>
      </c>
      <c r="B59" t="s">
        <v>20</v>
      </c>
      <c r="C59">
        <v>0</v>
      </c>
      <c r="D59">
        <v>0</v>
      </c>
      <c r="E59">
        <v>0</v>
      </c>
      <c r="F59">
        <v>0</v>
      </c>
      <c r="G59">
        <v>0</v>
      </c>
      <c r="H59">
        <f t="shared" si="5"/>
        <v>0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  <c r="N59">
        <f t="shared" si="4"/>
        <v>0</v>
      </c>
    </row>
    <row r="60" spans="1:14" x14ac:dyDescent="0.2">
      <c r="A60" t="s">
        <v>49</v>
      </c>
      <c r="B60" t="s">
        <v>21</v>
      </c>
      <c r="C60">
        <v>0</v>
      </c>
      <c r="D60">
        <v>0</v>
      </c>
      <c r="E60">
        <v>0</v>
      </c>
      <c r="F60">
        <v>0</v>
      </c>
      <c r="G60">
        <v>0</v>
      </c>
      <c r="H60">
        <f t="shared" si="5"/>
        <v>0</v>
      </c>
      <c r="J60">
        <f t="shared" si="0"/>
        <v>0</v>
      </c>
      <c r="K60">
        <f t="shared" si="1"/>
        <v>0</v>
      </c>
      <c r="L60">
        <f t="shared" si="2"/>
        <v>0</v>
      </c>
      <c r="M60">
        <f t="shared" si="3"/>
        <v>0</v>
      </c>
      <c r="N60">
        <f t="shared" si="4"/>
        <v>0</v>
      </c>
    </row>
    <row r="61" spans="1:14" x14ac:dyDescent="0.2">
      <c r="A61" t="s">
        <v>50</v>
      </c>
      <c r="B61" t="s">
        <v>31</v>
      </c>
      <c r="C61">
        <v>0</v>
      </c>
      <c r="D61">
        <v>0</v>
      </c>
      <c r="E61">
        <v>0</v>
      </c>
      <c r="F61">
        <v>0</v>
      </c>
      <c r="G61">
        <v>0</v>
      </c>
      <c r="H61">
        <f t="shared" si="5"/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  <c r="N61">
        <f t="shared" si="4"/>
        <v>0</v>
      </c>
    </row>
    <row r="62" spans="1:14" x14ac:dyDescent="0.2">
      <c r="A62" t="s">
        <v>50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f t="shared" si="5"/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  <c r="N62">
        <f t="shared" si="4"/>
        <v>0</v>
      </c>
    </row>
  </sheetData>
  <autoFilter ref="A1:R57" xr:uid="{BC950417-3E59-E641-81F2-BD2C8A70F6D2}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2B97-61D2-6742-9D43-E868077C9065}">
  <dimension ref="A1:I67"/>
  <sheetViews>
    <sheetView zoomScale="125" workbookViewId="0">
      <selection activeCell="A8" sqref="A8:XFD8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4" width="12.1640625" bestFit="1" customWidth="1"/>
    <col min="5" max="5" width="13.1640625" bestFit="1" customWidth="1"/>
    <col min="8" max="8" width="15.33203125" bestFit="1" customWidth="1"/>
    <col min="9" max="9" width="17.1640625" customWidth="1"/>
    <col min="10" max="10" width="20.1640625" bestFit="1" customWidth="1"/>
    <col min="11" max="11" width="14.83203125" bestFit="1" customWidth="1"/>
  </cols>
  <sheetData>
    <row r="1" spans="1:9" ht="17" x14ac:dyDescent="0.25">
      <c r="A1" t="s">
        <v>0</v>
      </c>
      <c r="B1" t="s">
        <v>1</v>
      </c>
      <c r="C1" s="1" t="s">
        <v>51</v>
      </c>
      <c r="D1" t="s">
        <v>52</v>
      </c>
      <c r="E1" t="s">
        <v>53</v>
      </c>
      <c r="F1" t="s">
        <v>7</v>
      </c>
      <c r="I1" s="2"/>
    </row>
    <row r="2" spans="1:9" x14ac:dyDescent="0.2">
      <c r="A2" t="s">
        <v>13</v>
      </c>
      <c r="B2" t="s">
        <v>45</v>
      </c>
      <c r="C2">
        <f>Activity_Counts!G2/(Activity_Counts!G2+Activity_Counts!N2+5)</f>
        <v>3.0303030303030304E-2</v>
      </c>
      <c r="D2">
        <f>Activity_Counts!N2/(Activity_Counts!G2+Activity_Counts!N2+5)</f>
        <v>0.81818181818181823</v>
      </c>
      <c r="E2">
        <f>5/(Activity_Counts!G2+Activity_Counts!N2+5)</f>
        <v>0.15151515151515152</v>
      </c>
      <c r="F2">
        <f t="shared" ref="F2:F63" si="0">SUM(C2:E2)</f>
        <v>1</v>
      </c>
    </row>
    <row r="3" spans="1:9" x14ac:dyDescent="0.2">
      <c r="A3" t="s">
        <v>14</v>
      </c>
      <c r="B3" t="s">
        <v>54</v>
      </c>
      <c r="C3">
        <f>Activity_Counts!G3/(Activity_Counts!G3+Activity_Counts!N3+5)</f>
        <v>7.1428571428571425E-2</v>
      </c>
      <c r="D3">
        <f>Activity_Counts!N3/(Activity_Counts!G3+Activity_Counts!N3+5)</f>
        <v>0.5714285714285714</v>
      </c>
      <c r="E3">
        <f>5/(Activity_Counts!G3+Activity_Counts!N3+5)</f>
        <v>0.35714285714285715</v>
      </c>
      <c r="F3">
        <f t="shared" si="0"/>
        <v>1</v>
      </c>
    </row>
    <row r="4" spans="1:9" x14ac:dyDescent="0.2">
      <c r="A4" t="s">
        <v>14</v>
      </c>
      <c r="B4" t="s">
        <v>55</v>
      </c>
      <c r="C4">
        <f>Activity_Counts!G4/(Activity_Counts!G4+Activity_Counts!N4+5)</f>
        <v>0</v>
      </c>
      <c r="D4">
        <f>Activity_Counts!N4/(Activity_Counts!G4+Activity_Counts!N4+5)</f>
        <v>0.77272727272727271</v>
      </c>
      <c r="E4">
        <f>5/(Activity_Counts!G4+Activity_Counts!N4+5)</f>
        <v>0.22727272727272727</v>
      </c>
      <c r="F4">
        <f t="shared" si="0"/>
        <v>1</v>
      </c>
    </row>
    <row r="5" spans="1:9" x14ac:dyDescent="0.2">
      <c r="A5" t="s">
        <v>14</v>
      </c>
      <c r="B5" t="s">
        <v>56</v>
      </c>
      <c r="C5">
        <f>Activity_Counts!G5/(Activity_Counts!G5+Activity_Counts!N5+5)</f>
        <v>0</v>
      </c>
      <c r="D5">
        <f>Activity_Counts!N5/(Activity_Counts!G5+Activity_Counts!N5+5)</f>
        <v>0.78260869565217395</v>
      </c>
      <c r="E5">
        <f>5/(Activity_Counts!G5+Activity_Counts!N5+5)</f>
        <v>0.21739130434782608</v>
      </c>
      <c r="F5">
        <f t="shared" si="0"/>
        <v>1</v>
      </c>
    </row>
    <row r="6" spans="1:9" x14ac:dyDescent="0.2">
      <c r="A6" t="s">
        <v>14</v>
      </c>
      <c r="B6" t="s">
        <v>57</v>
      </c>
      <c r="C6">
        <f>Activity_Counts!G6/(Activity_Counts!G6+Activity_Counts!N6+5)</f>
        <v>0</v>
      </c>
      <c r="D6">
        <f>Activity_Counts!N6/(Activity_Counts!G6+Activity_Counts!N6+5)</f>
        <v>0.16666666666666666</v>
      </c>
      <c r="E6">
        <f>5/(Activity_Counts!G6+Activity_Counts!N6+5)</f>
        <v>0.83333333333333337</v>
      </c>
      <c r="F6">
        <f t="shared" si="0"/>
        <v>1</v>
      </c>
    </row>
    <row r="7" spans="1:9" x14ac:dyDescent="0.2">
      <c r="A7" t="s">
        <v>14</v>
      </c>
      <c r="B7" t="s">
        <v>58</v>
      </c>
      <c r="C7">
        <f>Activity_Counts!G7/(Activity_Counts!G7+Activity_Counts!N7+5)</f>
        <v>0.6470588235294118</v>
      </c>
      <c r="D7">
        <f>Activity_Counts!N7/(Activity_Counts!G7+Activity_Counts!N7+5)</f>
        <v>0.20588235294117646</v>
      </c>
      <c r="E7">
        <f>5/(Activity_Counts!G7+Activity_Counts!N7+5)</f>
        <v>0.14705882352941177</v>
      </c>
      <c r="F7">
        <f t="shared" si="0"/>
        <v>1</v>
      </c>
    </row>
    <row r="8" spans="1:9" x14ac:dyDescent="0.2">
      <c r="A8" t="s">
        <v>15</v>
      </c>
      <c r="B8" t="s">
        <v>54</v>
      </c>
      <c r="C8">
        <f>Activity_Counts!G8/(Activity_Counts!G8+Activity_Counts!N8+5)</f>
        <v>7.6923076923076927E-2</v>
      </c>
      <c r="D8">
        <f>Activity_Counts!N8/(Activity_Counts!G8+Activity_Counts!N8+5)</f>
        <v>0.53846153846153844</v>
      </c>
      <c r="E8">
        <f>5/(Activity_Counts!G8+Activity_Counts!N8+5)</f>
        <v>0.38461538461538464</v>
      </c>
      <c r="F8">
        <f t="shared" si="0"/>
        <v>1</v>
      </c>
    </row>
    <row r="9" spans="1:9" x14ac:dyDescent="0.2">
      <c r="A9" t="s">
        <v>15</v>
      </c>
      <c r="B9" t="s">
        <v>55</v>
      </c>
      <c r="C9">
        <f>Activity_Counts!G9/(Activity_Counts!G9+Activity_Counts!N9+5)</f>
        <v>9.6774193548387094E-2</v>
      </c>
      <c r="D9">
        <f>Activity_Counts!N9/(Activity_Counts!G9+Activity_Counts!N9+5)</f>
        <v>0.74193548387096775</v>
      </c>
      <c r="E9">
        <f>5/(Activity_Counts!G9+Activity_Counts!N9+5)</f>
        <v>0.16129032258064516</v>
      </c>
      <c r="F9">
        <f t="shared" si="0"/>
        <v>1</v>
      </c>
    </row>
    <row r="10" spans="1:9" x14ac:dyDescent="0.2">
      <c r="A10" t="s">
        <v>15</v>
      </c>
      <c r="B10" t="s">
        <v>56</v>
      </c>
      <c r="C10">
        <f>Activity_Counts!G10/(Activity_Counts!G10+Activity_Counts!N10+5)</f>
        <v>0.1</v>
      </c>
      <c r="D10">
        <f>Activity_Counts!N10/(Activity_Counts!G10+Activity_Counts!N10+5)</f>
        <v>0.4</v>
      </c>
      <c r="E10">
        <f>5/(Activity_Counts!G10+Activity_Counts!N10+5)</f>
        <v>0.5</v>
      </c>
      <c r="F10">
        <f t="shared" si="0"/>
        <v>1</v>
      </c>
    </row>
    <row r="11" spans="1:9" x14ac:dyDescent="0.2">
      <c r="A11" t="s">
        <v>15</v>
      </c>
      <c r="B11" t="s">
        <v>57</v>
      </c>
      <c r="C11">
        <f>Activity_Counts!G11/(Activity_Counts!G11+Activity_Counts!N11+5)</f>
        <v>0.2857142857142857</v>
      </c>
      <c r="D11">
        <f>Activity_Counts!N11/(Activity_Counts!G11+Activity_Counts!N11+5)</f>
        <v>0</v>
      </c>
      <c r="E11">
        <f>5/(Activity_Counts!G11+Activity_Counts!N11+5)</f>
        <v>0.7142857142857143</v>
      </c>
      <c r="F11">
        <f t="shared" si="0"/>
        <v>1</v>
      </c>
    </row>
    <row r="12" spans="1:9" x14ac:dyDescent="0.2">
      <c r="A12" t="s">
        <v>15</v>
      </c>
      <c r="B12" t="s">
        <v>58</v>
      </c>
      <c r="C12">
        <f>Activity_Counts!G12/(Activity_Counts!G12+Activity_Counts!N12+5)</f>
        <v>0.5</v>
      </c>
      <c r="D12">
        <f>Activity_Counts!N12/(Activity_Counts!G12+Activity_Counts!N12+5)</f>
        <v>0.14285714285714285</v>
      </c>
      <c r="E12">
        <f>5/(Activity_Counts!G12+Activity_Counts!N12+5)</f>
        <v>0.35714285714285715</v>
      </c>
      <c r="F12">
        <f t="shared" si="0"/>
        <v>1</v>
      </c>
    </row>
    <row r="13" spans="1:9" x14ac:dyDescent="0.2">
      <c r="A13" t="s">
        <v>16</v>
      </c>
      <c r="B13" t="s">
        <v>17</v>
      </c>
      <c r="C13">
        <f>Activity_Counts!G13/(Activity_Counts!G13+Activity_Counts!N13+5)</f>
        <v>0.32</v>
      </c>
      <c r="D13">
        <f>Activity_Counts!N13/(Activity_Counts!G13+Activity_Counts!N13+5)</f>
        <v>0.61333333333333329</v>
      </c>
      <c r="E13">
        <f>5/(Activity_Counts!G13+Activity_Counts!N13+5)</f>
        <v>6.6666666666666666E-2</v>
      </c>
      <c r="F13">
        <f t="shared" si="0"/>
        <v>1</v>
      </c>
    </row>
    <row r="14" spans="1:9" x14ac:dyDescent="0.2">
      <c r="A14" t="s">
        <v>16</v>
      </c>
      <c r="B14" t="s">
        <v>18</v>
      </c>
      <c r="C14">
        <f>Activity_Counts!G14/(Activity_Counts!G14+Activity_Counts!N14+5)</f>
        <v>0.30666666666666664</v>
      </c>
      <c r="D14">
        <f>Activity_Counts!N14/(Activity_Counts!G14+Activity_Counts!N14+5)</f>
        <v>0.62666666666666671</v>
      </c>
      <c r="E14">
        <f>5/(Activity_Counts!G14+Activity_Counts!N14+5)</f>
        <v>6.6666666666666666E-2</v>
      </c>
      <c r="F14">
        <f t="shared" si="0"/>
        <v>1</v>
      </c>
    </row>
    <row r="15" spans="1:9" x14ac:dyDescent="0.2">
      <c r="A15" t="s">
        <v>19</v>
      </c>
      <c r="B15" t="s">
        <v>20</v>
      </c>
      <c r="C15">
        <f>Activity_Counts!G15/(Activity_Counts!G15+Activity_Counts!N15+5)</f>
        <v>3.125E-2</v>
      </c>
      <c r="D15">
        <f>Activity_Counts!N15/(Activity_Counts!G15+Activity_Counts!N15+5)</f>
        <v>0.8125</v>
      </c>
      <c r="E15">
        <f>5/(Activity_Counts!G15+Activity_Counts!N15+5)</f>
        <v>0.15625</v>
      </c>
      <c r="F15">
        <f t="shared" si="0"/>
        <v>1</v>
      </c>
    </row>
    <row r="16" spans="1:9" x14ac:dyDescent="0.2">
      <c r="A16" t="s">
        <v>19</v>
      </c>
      <c r="B16" t="s">
        <v>21</v>
      </c>
      <c r="C16">
        <f>Activity_Counts!G16/(Activity_Counts!G16+Activity_Counts!N16+5)</f>
        <v>0.42307692307692307</v>
      </c>
      <c r="D16">
        <f>Activity_Counts!N16/(Activity_Counts!G16+Activity_Counts!N16+5)</f>
        <v>0.38461538461538464</v>
      </c>
      <c r="E16">
        <f>5/(Activity_Counts!G16+Activity_Counts!N16+5)</f>
        <v>0.19230769230769232</v>
      </c>
      <c r="F16">
        <f t="shared" si="0"/>
        <v>1</v>
      </c>
    </row>
    <row r="17" spans="1:6" x14ac:dyDescent="0.2">
      <c r="A17" t="s">
        <v>22</v>
      </c>
      <c r="B17" t="s">
        <v>20</v>
      </c>
      <c r="C17">
        <f>Activity_Counts!G17/(Activity_Counts!G17+Activity_Counts!N17+5)</f>
        <v>0</v>
      </c>
      <c r="D17">
        <f>Activity_Counts!N17/(Activity_Counts!G17+Activity_Counts!N17+5)</f>
        <v>0.82758620689655171</v>
      </c>
      <c r="E17">
        <f>5/(Activity_Counts!G17+Activity_Counts!N17+5)</f>
        <v>0.17241379310344829</v>
      </c>
      <c r="F17">
        <f t="shared" si="0"/>
        <v>1</v>
      </c>
    </row>
    <row r="18" spans="1:6" x14ac:dyDescent="0.2">
      <c r="A18" t="s">
        <v>22</v>
      </c>
      <c r="B18" t="s">
        <v>21</v>
      </c>
      <c r="C18">
        <f>Activity_Counts!G18/(Activity_Counts!G18+Activity_Counts!N18+5)</f>
        <v>0.3</v>
      </c>
      <c r="D18">
        <f>Activity_Counts!N18/(Activity_Counts!G18+Activity_Counts!N18+5)</f>
        <v>0.45</v>
      </c>
      <c r="E18">
        <f>5/(Activity_Counts!G18+Activity_Counts!N18+5)</f>
        <v>0.25</v>
      </c>
      <c r="F18">
        <f t="shared" si="0"/>
        <v>1</v>
      </c>
    </row>
    <row r="19" spans="1:6" x14ac:dyDescent="0.2">
      <c r="A19" t="s">
        <v>23</v>
      </c>
      <c r="B19" t="s">
        <v>20</v>
      </c>
      <c r="C19">
        <f>Activity_Counts!G19/(Activity_Counts!G19+Activity_Counts!N19+5)</f>
        <v>2.5000000000000001E-2</v>
      </c>
      <c r="D19">
        <f>Activity_Counts!N19/(Activity_Counts!G19+Activity_Counts!N19+5)</f>
        <v>0.85</v>
      </c>
      <c r="E19">
        <f>5/(Activity_Counts!G19+Activity_Counts!N19+5)</f>
        <v>0.125</v>
      </c>
      <c r="F19">
        <f t="shared" si="0"/>
        <v>1</v>
      </c>
    </row>
    <row r="20" spans="1:6" x14ac:dyDescent="0.2">
      <c r="A20" t="s">
        <v>23</v>
      </c>
      <c r="B20" t="s">
        <v>21</v>
      </c>
      <c r="C20">
        <f>Activity_Counts!G20/(Activity_Counts!G20+Activity_Counts!N20+5)</f>
        <v>0.2</v>
      </c>
      <c r="D20">
        <f>Activity_Counts!N20/(Activity_Counts!G20+Activity_Counts!N20+5)</f>
        <v>0.55000000000000004</v>
      </c>
      <c r="E20">
        <f>5/(Activity_Counts!G20+Activity_Counts!N20+5)</f>
        <v>0.25</v>
      </c>
      <c r="F20">
        <f t="shared" si="0"/>
        <v>1</v>
      </c>
    </row>
    <row r="21" spans="1:6" x14ac:dyDescent="0.2">
      <c r="A21" t="s">
        <v>24</v>
      </c>
      <c r="B21" t="s">
        <v>20</v>
      </c>
      <c r="C21">
        <f>Activity_Counts!G21/(Activity_Counts!G21+Activity_Counts!N21+5)</f>
        <v>6.4516129032258063E-2</v>
      </c>
      <c r="D21">
        <f>Activity_Counts!N21/(Activity_Counts!G21+Activity_Counts!N21+5)</f>
        <v>0.77419354838709675</v>
      </c>
      <c r="E21">
        <f>5/(Activity_Counts!G21+Activity_Counts!N21+5)</f>
        <v>0.16129032258064516</v>
      </c>
      <c r="F21">
        <f t="shared" si="0"/>
        <v>0.99999999999999989</v>
      </c>
    </row>
    <row r="22" spans="1:6" x14ac:dyDescent="0.2">
      <c r="A22" t="s">
        <v>24</v>
      </c>
      <c r="B22" t="s">
        <v>21</v>
      </c>
      <c r="C22">
        <f>Activity_Counts!G22/(Activity_Counts!G22+Activity_Counts!N22+5)</f>
        <v>0.46666666666666667</v>
      </c>
      <c r="D22">
        <f>Activity_Counts!N22/(Activity_Counts!G22+Activity_Counts!N22+5)</f>
        <v>0.2</v>
      </c>
      <c r="E22">
        <f>5/(Activity_Counts!G22+Activity_Counts!N22+5)</f>
        <v>0.33333333333333331</v>
      </c>
      <c r="F22">
        <f t="shared" si="0"/>
        <v>1</v>
      </c>
    </row>
    <row r="23" spans="1:6" x14ac:dyDescent="0.2">
      <c r="A23" t="s">
        <v>25</v>
      </c>
      <c r="B23" t="s">
        <v>20</v>
      </c>
      <c r="C23">
        <f>Activity_Counts!G23/(Activity_Counts!G23+Activity_Counts!N23+5)</f>
        <v>6.4516129032258063E-2</v>
      </c>
      <c r="D23">
        <f>Activity_Counts!N23/(Activity_Counts!G23+Activity_Counts!N23+5)</f>
        <v>0.77419354838709675</v>
      </c>
      <c r="E23">
        <f>5/(Activity_Counts!G23+Activity_Counts!N23+5)</f>
        <v>0.16129032258064516</v>
      </c>
      <c r="F23">
        <f t="shared" si="0"/>
        <v>0.99999999999999989</v>
      </c>
    </row>
    <row r="24" spans="1:6" x14ac:dyDescent="0.2">
      <c r="A24" t="s">
        <v>25</v>
      </c>
      <c r="B24" t="s">
        <v>21</v>
      </c>
      <c r="C24">
        <f>Activity_Counts!G24/(Activity_Counts!G24+Activity_Counts!N24+5)</f>
        <v>0.29411764705882354</v>
      </c>
      <c r="D24">
        <f>Activity_Counts!N24/(Activity_Counts!G24+Activity_Counts!N24+5)</f>
        <v>0.41176470588235292</v>
      </c>
      <c r="E24">
        <f>5/(Activity_Counts!G24+Activity_Counts!N24+5)</f>
        <v>0.29411764705882354</v>
      </c>
      <c r="F24">
        <f t="shared" si="0"/>
        <v>1</v>
      </c>
    </row>
    <row r="25" spans="1:6" x14ac:dyDescent="0.2">
      <c r="A25" t="s">
        <v>26</v>
      </c>
      <c r="B25" t="s">
        <v>20</v>
      </c>
      <c r="C25">
        <f>Activity_Counts!G25/(Activity_Counts!G25+Activity_Counts!N25+5)</f>
        <v>0.1</v>
      </c>
      <c r="D25">
        <f>Activity_Counts!N25/(Activity_Counts!G25+Activity_Counts!N25+5)</f>
        <v>0.73333333333333328</v>
      </c>
      <c r="E25">
        <f>5/(Activity_Counts!G25+Activity_Counts!N25+5)</f>
        <v>0.16666666666666666</v>
      </c>
      <c r="F25">
        <f t="shared" si="0"/>
        <v>0.99999999999999989</v>
      </c>
    </row>
    <row r="26" spans="1:6" x14ac:dyDescent="0.2">
      <c r="A26" t="s">
        <v>26</v>
      </c>
      <c r="B26" t="s">
        <v>21</v>
      </c>
      <c r="C26">
        <f>Activity_Counts!G26/(Activity_Counts!G26+Activity_Counts!N26+5)</f>
        <v>0.75862068965517238</v>
      </c>
      <c r="D26">
        <f>Activity_Counts!N26/(Activity_Counts!G26+Activity_Counts!N26+5)</f>
        <v>6.8965517241379309E-2</v>
      </c>
      <c r="E26">
        <f>5/(Activity_Counts!G26+Activity_Counts!N26+5)</f>
        <v>0.17241379310344829</v>
      </c>
      <c r="F26">
        <f t="shared" si="0"/>
        <v>1</v>
      </c>
    </row>
    <row r="27" spans="1:6" x14ac:dyDescent="0.2">
      <c r="A27" t="s">
        <v>27</v>
      </c>
      <c r="B27" t="s">
        <v>20</v>
      </c>
      <c r="C27">
        <f>Activity_Counts!G27/(Activity_Counts!G27+Activity_Counts!N27+5)</f>
        <v>0</v>
      </c>
      <c r="D27">
        <f>Activity_Counts!N27/(Activity_Counts!G27+Activity_Counts!N27+5)</f>
        <v>0.83333333333333337</v>
      </c>
      <c r="E27">
        <f>5/(Activity_Counts!G27+Activity_Counts!N27+5)</f>
        <v>0.16666666666666666</v>
      </c>
      <c r="F27">
        <f t="shared" si="0"/>
        <v>1</v>
      </c>
    </row>
    <row r="28" spans="1:6" x14ac:dyDescent="0.2">
      <c r="A28" t="s">
        <v>27</v>
      </c>
      <c r="B28" t="s">
        <v>21</v>
      </c>
      <c r="C28">
        <f>Activity_Counts!G28/(Activity_Counts!G28+Activity_Counts!N28+5)</f>
        <v>0.125</v>
      </c>
      <c r="D28">
        <f>Activity_Counts!N28/(Activity_Counts!G28+Activity_Counts!N28+5)</f>
        <v>0.25</v>
      </c>
      <c r="E28">
        <f>5/(Activity_Counts!G28+Activity_Counts!N28+5)</f>
        <v>0.625</v>
      </c>
      <c r="F28">
        <f t="shared" si="0"/>
        <v>1</v>
      </c>
    </row>
    <row r="29" spans="1:6" x14ac:dyDescent="0.2">
      <c r="A29" t="s">
        <v>28</v>
      </c>
      <c r="B29" t="s">
        <v>20</v>
      </c>
      <c r="C29">
        <f>Activity_Counts!G29/(Activity_Counts!G29+Activity_Counts!N29+5)</f>
        <v>0</v>
      </c>
      <c r="D29">
        <f>Activity_Counts!N29/(Activity_Counts!G29+Activity_Counts!N29+5)</f>
        <v>0.8214285714285714</v>
      </c>
      <c r="E29">
        <f>5/(Activity_Counts!G29+Activity_Counts!N29+5)</f>
        <v>0.17857142857142858</v>
      </c>
      <c r="F29">
        <f t="shared" si="0"/>
        <v>1</v>
      </c>
    </row>
    <row r="30" spans="1:6" x14ac:dyDescent="0.2">
      <c r="A30" t="s">
        <v>28</v>
      </c>
      <c r="B30" t="s">
        <v>21</v>
      </c>
      <c r="C30">
        <f>Activity_Counts!G30/(Activity_Counts!G30+Activity_Counts!N30+5)</f>
        <v>0</v>
      </c>
      <c r="D30">
        <f>Activity_Counts!N30/(Activity_Counts!G30+Activity_Counts!N30+5)</f>
        <v>0.61538461538461542</v>
      </c>
      <c r="E30">
        <f>5/(Activity_Counts!G30+Activity_Counts!N30+5)</f>
        <v>0.38461538461538464</v>
      </c>
      <c r="F30">
        <f t="shared" si="0"/>
        <v>1</v>
      </c>
    </row>
    <row r="31" spans="1:6" x14ac:dyDescent="0.2">
      <c r="A31" t="s">
        <v>29</v>
      </c>
      <c r="B31" t="s">
        <v>30</v>
      </c>
      <c r="C31">
        <f>Activity_Counts!G31/(Activity_Counts!G31+Activity_Counts!N31+5)</f>
        <v>0</v>
      </c>
      <c r="D31">
        <f>Activity_Counts!N31/(Activity_Counts!G31+Activity_Counts!N31+5)</f>
        <v>0.82758620689655171</v>
      </c>
      <c r="E31">
        <f>5/(Activity_Counts!G31+Activity_Counts!N31+5)</f>
        <v>0.17241379310344829</v>
      </c>
      <c r="F31">
        <f t="shared" si="0"/>
        <v>1</v>
      </c>
    </row>
    <row r="32" spans="1:6" x14ac:dyDescent="0.2">
      <c r="A32" t="s">
        <v>29</v>
      </c>
      <c r="B32" t="s">
        <v>31</v>
      </c>
      <c r="C32">
        <f>Activity_Counts!G32/(Activity_Counts!G32+Activity_Counts!N32+5)</f>
        <v>0</v>
      </c>
      <c r="D32">
        <f>Activity_Counts!N32/(Activity_Counts!G32+Activity_Counts!N32+5)</f>
        <v>0.77272727272727271</v>
      </c>
      <c r="E32">
        <f>5/(Activity_Counts!G32+Activity_Counts!N32+5)</f>
        <v>0.22727272727272727</v>
      </c>
      <c r="F32">
        <f t="shared" si="0"/>
        <v>1</v>
      </c>
    </row>
    <row r="33" spans="1:6" x14ac:dyDescent="0.2">
      <c r="A33" t="s">
        <v>32</v>
      </c>
      <c r="B33" t="s">
        <v>30</v>
      </c>
      <c r="C33">
        <f>Activity_Counts!G33/(Activity_Counts!G33+Activity_Counts!N33+5)</f>
        <v>0</v>
      </c>
      <c r="D33">
        <f>Activity_Counts!N33/(Activity_Counts!G33+Activity_Counts!N33+5)</f>
        <v>0.8214285714285714</v>
      </c>
      <c r="E33">
        <f>5/(Activity_Counts!G33+Activity_Counts!N33+5)</f>
        <v>0.17857142857142858</v>
      </c>
      <c r="F33">
        <f t="shared" si="0"/>
        <v>1</v>
      </c>
    </row>
    <row r="34" spans="1:6" x14ac:dyDescent="0.2">
      <c r="A34" t="s">
        <v>32</v>
      </c>
      <c r="B34" t="s">
        <v>31</v>
      </c>
      <c r="C34">
        <f>Activity_Counts!G34/(Activity_Counts!G34+Activity_Counts!N34+5)</f>
        <v>0</v>
      </c>
      <c r="D34">
        <f>Activity_Counts!N34/(Activity_Counts!G34+Activity_Counts!N34+5)</f>
        <v>0.8214285714285714</v>
      </c>
      <c r="E34">
        <f>5/(Activity_Counts!G34+Activity_Counts!N34+5)</f>
        <v>0.17857142857142858</v>
      </c>
      <c r="F34">
        <f t="shared" si="0"/>
        <v>1</v>
      </c>
    </row>
    <row r="35" spans="1:6" x14ac:dyDescent="0.2">
      <c r="A35" t="s">
        <v>33</v>
      </c>
      <c r="B35" t="s">
        <v>30</v>
      </c>
      <c r="C35">
        <f>Activity_Counts!G35/(Activity_Counts!G35+Activity_Counts!N35+5)</f>
        <v>0</v>
      </c>
      <c r="D35">
        <f>Activity_Counts!N35/(Activity_Counts!G35+Activity_Counts!N35+5)</f>
        <v>0.82758620689655171</v>
      </c>
      <c r="E35">
        <f>5/(Activity_Counts!G35+Activity_Counts!N35+5)</f>
        <v>0.17241379310344829</v>
      </c>
      <c r="F35">
        <f t="shared" si="0"/>
        <v>1</v>
      </c>
    </row>
    <row r="36" spans="1:6" x14ac:dyDescent="0.2">
      <c r="A36" t="s">
        <v>33</v>
      </c>
      <c r="B36" t="s">
        <v>31</v>
      </c>
      <c r="C36">
        <f>Activity_Counts!G36/(Activity_Counts!G36+Activity_Counts!N36+5)</f>
        <v>0</v>
      </c>
      <c r="D36">
        <f>Activity_Counts!N36/(Activity_Counts!G36+Activity_Counts!N36+5)</f>
        <v>0.82758620689655171</v>
      </c>
      <c r="E36">
        <f>5/(Activity_Counts!G36+Activity_Counts!N36+5)</f>
        <v>0.17241379310344829</v>
      </c>
      <c r="F36">
        <f t="shared" si="0"/>
        <v>1</v>
      </c>
    </row>
    <row r="37" spans="1:6" x14ac:dyDescent="0.2">
      <c r="A37" t="s">
        <v>34</v>
      </c>
      <c r="B37" t="s">
        <v>30</v>
      </c>
      <c r="C37">
        <f>Activity_Counts!G37/(Activity_Counts!G37+Activity_Counts!N37+5)</f>
        <v>0</v>
      </c>
      <c r="D37">
        <f>Activity_Counts!N37/(Activity_Counts!G37+Activity_Counts!N37+5)</f>
        <v>0.79166666666666663</v>
      </c>
      <c r="E37">
        <f>5/(Activity_Counts!G37+Activity_Counts!N37+5)</f>
        <v>0.20833333333333334</v>
      </c>
      <c r="F37">
        <f t="shared" si="0"/>
        <v>1</v>
      </c>
    </row>
    <row r="38" spans="1:6" x14ac:dyDescent="0.2">
      <c r="A38" t="s">
        <v>34</v>
      </c>
      <c r="B38" t="s">
        <v>31</v>
      </c>
      <c r="C38">
        <f>Activity_Counts!G38/(Activity_Counts!G38+Activity_Counts!N38+5)</f>
        <v>0</v>
      </c>
      <c r="D38">
        <f>Activity_Counts!N38/(Activity_Counts!G38+Activity_Counts!N38+5)</f>
        <v>0.79166666666666663</v>
      </c>
      <c r="E38">
        <f>5/(Activity_Counts!G38+Activity_Counts!N38+5)</f>
        <v>0.20833333333333334</v>
      </c>
      <c r="F38">
        <f t="shared" si="0"/>
        <v>1</v>
      </c>
    </row>
    <row r="39" spans="1:6" x14ac:dyDescent="0.2">
      <c r="A39" t="s">
        <v>35</v>
      </c>
      <c r="B39" t="s">
        <v>30</v>
      </c>
      <c r="C39">
        <f>Activity_Counts!G39/(Activity_Counts!G39+Activity_Counts!N39+5)</f>
        <v>0.20618556701030927</v>
      </c>
      <c r="D39">
        <f>Activity_Counts!N39/(Activity_Counts!G39+Activity_Counts!N39+5)</f>
        <v>0.74226804123711343</v>
      </c>
      <c r="E39">
        <f>5/(Activity_Counts!G39+Activity_Counts!N39+5)</f>
        <v>5.1546391752577317E-2</v>
      </c>
      <c r="F39">
        <f t="shared" si="0"/>
        <v>1</v>
      </c>
    </row>
    <row r="40" spans="1:6" x14ac:dyDescent="0.2">
      <c r="A40" t="s">
        <v>35</v>
      </c>
      <c r="B40" t="s">
        <v>31</v>
      </c>
      <c r="C40">
        <f>Activity_Counts!G40/(Activity_Counts!G40+Activity_Counts!N40+5)</f>
        <v>0.2</v>
      </c>
      <c r="D40">
        <f>Activity_Counts!N40/(Activity_Counts!G40+Activity_Counts!N40+5)</f>
        <v>0.74117647058823533</v>
      </c>
      <c r="E40">
        <f>5/(Activity_Counts!G40+Activity_Counts!N40+5)</f>
        <v>5.8823529411764705E-2</v>
      </c>
      <c r="F40">
        <f t="shared" si="0"/>
        <v>1</v>
      </c>
    </row>
    <row r="41" spans="1:6" x14ac:dyDescent="0.2">
      <c r="A41" t="s">
        <v>36</v>
      </c>
      <c r="B41" t="s">
        <v>30</v>
      </c>
      <c r="C41">
        <f>Activity_Counts!G41/(Activity_Counts!G41+Activity_Counts!N41+5)</f>
        <v>0.23529411764705882</v>
      </c>
      <c r="D41">
        <f>Activity_Counts!N41/(Activity_Counts!G41+Activity_Counts!N41+5)</f>
        <v>0.71568627450980393</v>
      </c>
      <c r="E41">
        <f>5/(Activity_Counts!G41+Activity_Counts!N41+5)</f>
        <v>4.9019607843137254E-2</v>
      </c>
      <c r="F41">
        <f t="shared" si="0"/>
        <v>1</v>
      </c>
    </row>
    <row r="42" spans="1:6" x14ac:dyDescent="0.2">
      <c r="A42" t="s">
        <v>36</v>
      </c>
      <c r="B42" t="s">
        <v>31</v>
      </c>
      <c r="C42">
        <f>Activity_Counts!G42/(Activity_Counts!G42+Activity_Counts!N42+5)</f>
        <v>0.23157894736842105</v>
      </c>
      <c r="D42">
        <f>Activity_Counts!N42/(Activity_Counts!G42+Activity_Counts!N42+5)</f>
        <v>0.71578947368421053</v>
      </c>
      <c r="E42">
        <f>5/(Activity_Counts!G42+Activity_Counts!N42+5)</f>
        <v>5.2631578947368418E-2</v>
      </c>
      <c r="F42">
        <f t="shared" si="0"/>
        <v>1</v>
      </c>
    </row>
    <row r="43" spans="1:6" x14ac:dyDescent="0.2">
      <c r="A43" t="s">
        <v>37</v>
      </c>
      <c r="B43" t="s">
        <v>30</v>
      </c>
      <c r="C43">
        <f>Activity_Counts!G43/(Activity_Counts!G43+Activity_Counts!N43+5)</f>
        <v>0.3</v>
      </c>
      <c r="D43">
        <f>Activity_Counts!N43/(Activity_Counts!G43+Activity_Counts!N43+5)</f>
        <v>0.63749999999999996</v>
      </c>
      <c r="E43">
        <f>5/(Activity_Counts!G43+Activity_Counts!N43+5)</f>
        <v>6.25E-2</v>
      </c>
      <c r="F43">
        <f t="shared" si="0"/>
        <v>1</v>
      </c>
    </row>
    <row r="44" spans="1:6" x14ac:dyDescent="0.2">
      <c r="A44" t="s">
        <v>37</v>
      </c>
      <c r="B44" t="s">
        <v>31</v>
      </c>
      <c r="C44">
        <f>Activity_Counts!G44/(Activity_Counts!G44+Activity_Counts!N44+5)</f>
        <v>0.30379746835443039</v>
      </c>
      <c r="D44">
        <f>Activity_Counts!N44/(Activity_Counts!G44+Activity_Counts!N44+5)</f>
        <v>0.63291139240506333</v>
      </c>
      <c r="E44">
        <f>5/(Activity_Counts!G44+Activity_Counts!N44+5)</f>
        <v>6.3291139240506333E-2</v>
      </c>
      <c r="F44">
        <f t="shared" si="0"/>
        <v>1</v>
      </c>
    </row>
    <row r="45" spans="1:6" x14ac:dyDescent="0.2">
      <c r="A45" t="s">
        <v>38</v>
      </c>
      <c r="B45" t="s">
        <v>30</v>
      </c>
      <c r="C45">
        <f>Activity_Counts!G45/(Activity_Counts!G45+Activity_Counts!N45+5)</f>
        <v>0.28915662650602408</v>
      </c>
      <c r="D45">
        <f>Activity_Counts!N45/(Activity_Counts!G45+Activity_Counts!N45+5)</f>
        <v>0.6506024096385542</v>
      </c>
      <c r="E45">
        <f>5/(Activity_Counts!G45+Activity_Counts!N45+5)</f>
        <v>6.0240963855421686E-2</v>
      </c>
      <c r="F45">
        <f t="shared" si="0"/>
        <v>0.99999999999999989</v>
      </c>
    </row>
    <row r="46" spans="1:6" x14ac:dyDescent="0.2">
      <c r="A46" t="s">
        <v>38</v>
      </c>
      <c r="B46" t="s">
        <v>31</v>
      </c>
      <c r="C46">
        <f>Activity_Counts!G46/(Activity_Counts!G46+Activity_Counts!N46+5)</f>
        <v>0.28915662650602408</v>
      </c>
      <c r="D46">
        <f>Activity_Counts!N46/(Activity_Counts!G46+Activity_Counts!N46+5)</f>
        <v>0.6506024096385542</v>
      </c>
      <c r="E46">
        <f>5/(Activity_Counts!G46+Activity_Counts!N46+5)</f>
        <v>6.0240963855421686E-2</v>
      </c>
      <c r="F46">
        <f t="shared" si="0"/>
        <v>0.99999999999999989</v>
      </c>
    </row>
    <row r="47" spans="1:6" x14ac:dyDescent="0.2">
      <c r="A47" t="s">
        <v>39</v>
      </c>
      <c r="B47" t="s">
        <v>30</v>
      </c>
      <c r="C47">
        <f>Activity_Counts!G47/(Activity_Counts!G47+Activity_Counts!N47+5)</f>
        <v>0.23529411764705882</v>
      </c>
      <c r="D47">
        <f>Activity_Counts!N47/(Activity_Counts!G47+Activity_Counts!N47+5)</f>
        <v>0.71568627450980393</v>
      </c>
      <c r="E47">
        <f>5/(Activity_Counts!G47+Activity_Counts!N47+5)</f>
        <v>4.9019607843137254E-2</v>
      </c>
      <c r="F47">
        <f t="shared" si="0"/>
        <v>1</v>
      </c>
    </row>
    <row r="48" spans="1:6" x14ac:dyDescent="0.2">
      <c r="A48" t="s">
        <v>39</v>
      </c>
      <c r="B48" t="s">
        <v>31</v>
      </c>
      <c r="C48">
        <f>Activity_Counts!G48/(Activity_Counts!G48+Activity_Counts!N48+5)</f>
        <v>0.23529411764705882</v>
      </c>
      <c r="D48">
        <f>Activity_Counts!N48/(Activity_Counts!G48+Activity_Counts!N48+5)</f>
        <v>0.71568627450980393</v>
      </c>
      <c r="E48">
        <f>5/(Activity_Counts!G48+Activity_Counts!N48+5)</f>
        <v>4.9019607843137254E-2</v>
      </c>
      <c r="F48">
        <f t="shared" si="0"/>
        <v>1</v>
      </c>
    </row>
    <row r="49" spans="1:6" x14ac:dyDescent="0.2">
      <c r="A49" t="s">
        <v>40</v>
      </c>
      <c r="B49" t="s">
        <v>30</v>
      </c>
      <c r="C49">
        <f>Activity_Counts!G49/(Activity_Counts!G49+Activity_Counts!N49+5)</f>
        <v>0.42105263157894735</v>
      </c>
      <c r="D49">
        <f>Activity_Counts!N49/(Activity_Counts!G49+Activity_Counts!N49+5)</f>
        <v>0.49122807017543857</v>
      </c>
      <c r="E49">
        <f>5/(Activity_Counts!G49+Activity_Counts!N49+5)</f>
        <v>8.771929824561403E-2</v>
      </c>
      <c r="F49">
        <f t="shared" si="0"/>
        <v>1</v>
      </c>
    </row>
    <row r="50" spans="1:6" x14ac:dyDescent="0.2">
      <c r="A50" t="s">
        <v>40</v>
      </c>
      <c r="B50" t="s">
        <v>31</v>
      </c>
      <c r="C50">
        <f>Activity_Counts!G50/(Activity_Counts!G50+Activity_Counts!N50+5)</f>
        <v>0.36923076923076925</v>
      </c>
      <c r="D50">
        <f>Activity_Counts!N50/(Activity_Counts!G50+Activity_Counts!N50+5)</f>
        <v>0.55384615384615388</v>
      </c>
      <c r="E50">
        <f>5/(Activity_Counts!G50+Activity_Counts!N50+5)</f>
        <v>7.6923076923076927E-2</v>
      </c>
      <c r="F50">
        <f t="shared" si="0"/>
        <v>1</v>
      </c>
    </row>
    <row r="51" spans="1:6" x14ac:dyDescent="0.2">
      <c r="A51" t="s">
        <v>41</v>
      </c>
      <c r="B51" t="s">
        <v>30</v>
      </c>
      <c r="C51">
        <f>Activity_Counts!G51/(Activity_Counts!G51+Activity_Counts!N51+5)</f>
        <v>0</v>
      </c>
      <c r="D51">
        <f>Activity_Counts!N51/(Activity_Counts!G51+Activity_Counts!N51+5)</f>
        <v>0.81481481481481477</v>
      </c>
      <c r="E51">
        <f>5/(Activity_Counts!G51+Activity_Counts!N51+5)</f>
        <v>0.18518518518518517</v>
      </c>
      <c r="F51">
        <f t="shared" si="0"/>
        <v>1</v>
      </c>
    </row>
    <row r="52" spans="1:6" x14ac:dyDescent="0.2">
      <c r="A52" t="s">
        <v>41</v>
      </c>
      <c r="B52" t="s">
        <v>31</v>
      </c>
      <c r="C52">
        <f>Activity_Counts!G52/(Activity_Counts!G52+Activity_Counts!N52+5)</f>
        <v>0</v>
      </c>
      <c r="D52">
        <f>Activity_Counts!N52/(Activity_Counts!G52+Activity_Counts!N52+5)</f>
        <v>0.73684210526315785</v>
      </c>
      <c r="E52">
        <f>5/(Activity_Counts!G52+Activity_Counts!N52+5)</f>
        <v>0.26315789473684209</v>
      </c>
      <c r="F52">
        <f t="shared" si="0"/>
        <v>1</v>
      </c>
    </row>
    <row r="53" spans="1:6" x14ac:dyDescent="0.2">
      <c r="A53" t="s">
        <v>42</v>
      </c>
      <c r="B53" t="s">
        <v>43</v>
      </c>
      <c r="C53">
        <f>Activity_Counts!G53/(Activity_Counts!G53+Activity_Counts!N53+5)</f>
        <v>0</v>
      </c>
      <c r="D53">
        <f>Activity_Counts!N53/(Activity_Counts!G53+Activity_Counts!N53+5)</f>
        <v>0.82758620689655171</v>
      </c>
      <c r="E53">
        <f>5/(Activity_Counts!G53+Activity_Counts!N53+5)</f>
        <v>0.17241379310344829</v>
      </c>
      <c r="F53">
        <f t="shared" si="0"/>
        <v>1</v>
      </c>
    </row>
    <row r="54" spans="1:6" x14ac:dyDescent="0.2">
      <c r="A54" t="s">
        <v>42</v>
      </c>
      <c r="B54" t="s">
        <v>44</v>
      </c>
      <c r="C54">
        <f>Activity_Counts!G54/(Activity_Counts!G54+Activity_Counts!N54+5)</f>
        <v>0</v>
      </c>
      <c r="D54">
        <f>Activity_Counts!N54/(Activity_Counts!G54+Activity_Counts!N54+5)</f>
        <v>0.82758620689655171</v>
      </c>
      <c r="E54">
        <f>5/(Activity_Counts!G54+Activity_Counts!N54+5)</f>
        <v>0.17241379310344829</v>
      </c>
      <c r="F54">
        <f t="shared" si="0"/>
        <v>1</v>
      </c>
    </row>
    <row r="55" spans="1:6" x14ac:dyDescent="0.2">
      <c r="A55" t="s">
        <v>46</v>
      </c>
      <c r="B55" t="s">
        <v>30</v>
      </c>
      <c r="C55">
        <f>Activity_Counts!G55/(Activity_Counts!G55+Activity_Counts!N55+5)</f>
        <v>0</v>
      </c>
      <c r="D55">
        <f>Activity_Counts!N55/(Activity_Counts!G55+Activity_Counts!N55+5)</f>
        <v>0</v>
      </c>
      <c r="E55">
        <f>5/(Activity_Counts!G55+Activity_Counts!N55+5)</f>
        <v>1</v>
      </c>
      <c r="F55">
        <f t="shared" si="0"/>
        <v>1</v>
      </c>
    </row>
    <row r="56" spans="1:6" x14ac:dyDescent="0.2">
      <c r="A56" t="s">
        <v>47</v>
      </c>
      <c r="B56" t="s">
        <v>30</v>
      </c>
      <c r="C56">
        <f>Activity_Counts!G56/(Activity_Counts!G56+Activity_Counts!N56+5)</f>
        <v>0</v>
      </c>
      <c r="D56">
        <f>Activity_Counts!N56/(Activity_Counts!G56+Activity_Counts!N56+5)</f>
        <v>0</v>
      </c>
      <c r="E56">
        <f>5/(Activity_Counts!G56+Activity_Counts!N56+5)</f>
        <v>1</v>
      </c>
      <c r="F56">
        <f t="shared" si="0"/>
        <v>1</v>
      </c>
    </row>
    <row r="57" spans="1:6" x14ac:dyDescent="0.2">
      <c r="A57" t="s">
        <v>48</v>
      </c>
      <c r="B57" t="s">
        <v>31</v>
      </c>
      <c r="C57">
        <f>Activity_Counts!G57/(Activity_Counts!G57+Activity_Counts!N57+5)</f>
        <v>0</v>
      </c>
      <c r="D57">
        <f>Activity_Counts!N57/(Activity_Counts!G57+Activity_Counts!N57+5)</f>
        <v>0</v>
      </c>
      <c r="E57">
        <f>5/(Activity_Counts!G57+Activity_Counts!N57+5)</f>
        <v>1</v>
      </c>
      <c r="F57">
        <f t="shared" si="0"/>
        <v>1</v>
      </c>
    </row>
    <row r="58" spans="1:6" x14ac:dyDescent="0.2">
      <c r="A58" t="s">
        <v>48</v>
      </c>
      <c r="B58" t="s">
        <v>30</v>
      </c>
      <c r="C58">
        <f>Activity_Counts!G58/(Activity_Counts!G58+Activity_Counts!N58+5)</f>
        <v>0</v>
      </c>
      <c r="D58">
        <f>Activity_Counts!N58/(Activity_Counts!G58+Activity_Counts!N58+5)</f>
        <v>0</v>
      </c>
      <c r="E58">
        <f>5/(Activity_Counts!G58+Activity_Counts!N58+5)</f>
        <v>1</v>
      </c>
      <c r="F58">
        <f t="shared" si="0"/>
        <v>1</v>
      </c>
    </row>
    <row r="59" spans="1:6" x14ac:dyDescent="0.2">
      <c r="A59" t="s">
        <v>49</v>
      </c>
      <c r="B59" t="s">
        <v>20</v>
      </c>
      <c r="C59">
        <f>Activity_Counts!G59/(Activity_Counts!G59+Activity_Counts!N59+5)</f>
        <v>0</v>
      </c>
      <c r="D59">
        <f>Activity_Counts!N59/(Activity_Counts!G59+Activity_Counts!N59+5)</f>
        <v>0</v>
      </c>
      <c r="E59">
        <f>5/(Activity_Counts!G59+Activity_Counts!N59+5)</f>
        <v>1</v>
      </c>
      <c r="F59">
        <f t="shared" si="0"/>
        <v>1</v>
      </c>
    </row>
    <row r="60" spans="1:6" x14ac:dyDescent="0.2">
      <c r="A60" t="s">
        <v>49</v>
      </c>
      <c r="B60" t="s">
        <v>21</v>
      </c>
      <c r="C60">
        <f>Activity_Counts!G60/(Activity_Counts!G60+Activity_Counts!N60+5)</f>
        <v>0</v>
      </c>
      <c r="D60">
        <f>Activity_Counts!N60/(Activity_Counts!G60+Activity_Counts!N60+5)</f>
        <v>0</v>
      </c>
      <c r="E60">
        <f>5/(Activity_Counts!G60+Activity_Counts!N60+5)</f>
        <v>1</v>
      </c>
      <c r="F60">
        <f t="shared" si="0"/>
        <v>1</v>
      </c>
    </row>
    <row r="61" spans="1:6" x14ac:dyDescent="0.2">
      <c r="A61" t="s">
        <v>50</v>
      </c>
      <c r="B61" t="s">
        <v>31</v>
      </c>
      <c r="C61">
        <f>Activity_Counts!G61/(Activity_Counts!G61+Activity_Counts!N61+5)</f>
        <v>0</v>
      </c>
      <c r="D61">
        <f>Activity_Counts!N61/(Activity_Counts!G61+Activity_Counts!N61+5)</f>
        <v>0</v>
      </c>
      <c r="E61">
        <f>5/(Activity_Counts!G61+Activity_Counts!N61+5)</f>
        <v>1</v>
      </c>
      <c r="F61">
        <f t="shared" si="0"/>
        <v>1</v>
      </c>
    </row>
    <row r="62" spans="1:6" x14ac:dyDescent="0.2">
      <c r="A62" t="s">
        <v>50</v>
      </c>
      <c r="B62" t="s">
        <v>30</v>
      </c>
      <c r="C62">
        <f>Activity_Counts!G62/(Activity_Counts!G62+Activity_Counts!N62+5)</f>
        <v>0</v>
      </c>
      <c r="D62">
        <f>Activity_Counts!N62/(Activity_Counts!G62+Activity_Counts!N62+5)</f>
        <v>0</v>
      </c>
      <c r="E62">
        <f>5/(Activity_Counts!G62+Activity_Counts!N62+5)</f>
        <v>1</v>
      </c>
      <c r="F62">
        <f t="shared" si="0"/>
        <v>1</v>
      </c>
    </row>
    <row r="63" spans="1:6" x14ac:dyDescent="0.2">
      <c r="A63" t="s">
        <v>59</v>
      </c>
      <c r="B63" t="s">
        <v>60</v>
      </c>
      <c r="C63">
        <f>Activity_Counts!G63/(Activity_Counts!G63+Activity_Counts!N63+5)</f>
        <v>0</v>
      </c>
      <c r="D63">
        <f>Activity_Counts!N63/(Activity_Counts!G63+Activity_Counts!N63+5)</f>
        <v>0</v>
      </c>
      <c r="E63">
        <f>5/(Activity_Counts!G63+Activity_Counts!N63+5)</f>
        <v>1</v>
      </c>
      <c r="F63">
        <f t="shared" si="0"/>
        <v>1</v>
      </c>
    </row>
    <row r="64" spans="1:6" x14ac:dyDescent="0.2">
      <c r="A64" t="s">
        <v>59</v>
      </c>
      <c r="B64" t="s">
        <v>61</v>
      </c>
      <c r="C64">
        <f>Activity_Counts!G64/(Activity_Counts!G64+Activity_Counts!N64+5)</f>
        <v>0</v>
      </c>
      <c r="D64">
        <f>Activity_Counts!N64/(Activity_Counts!G64+Activity_Counts!N64+5)</f>
        <v>0</v>
      </c>
      <c r="E64">
        <f>5/(Activity_Counts!G64+Activity_Counts!N64+5)</f>
        <v>1</v>
      </c>
      <c r="F64">
        <f t="shared" ref="F64:F67" si="1">SUM(C64:E64)</f>
        <v>1</v>
      </c>
    </row>
    <row r="65" spans="1:6" x14ac:dyDescent="0.2">
      <c r="A65" t="s">
        <v>59</v>
      </c>
      <c r="B65" t="s">
        <v>62</v>
      </c>
      <c r="C65">
        <f>Activity_Counts!G65/(Activity_Counts!G65+Activity_Counts!N65+5)</f>
        <v>0</v>
      </c>
      <c r="D65">
        <f>Activity_Counts!N65/(Activity_Counts!G65+Activity_Counts!N65+5)</f>
        <v>0</v>
      </c>
      <c r="E65">
        <f>5/(Activity_Counts!G65+Activity_Counts!N65+5)</f>
        <v>1</v>
      </c>
      <c r="F65">
        <f t="shared" si="1"/>
        <v>1</v>
      </c>
    </row>
    <row r="66" spans="1:6" x14ac:dyDescent="0.2">
      <c r="A66" t="s">
        <v>59</v>
      </c>
      <c r="B66" t="s">
        <v>63</v>
      </c>
      <c r="C66">
        <f>Activity_Counts!G66/(Activity_Counts!G66+Activity_Counts!N66+5)</f>
        <v>0</v>
      </c>
      <c r="D66">
        <f>Activity_Counts!N66/(Activity_Counts!G66+Activity_Counts!N66+5)</f>
        <v>0</v>
      </c>
      <c r="E66">
        <f>5/(Activity_Counts!G66+Activity_Counts!N66+5)</f>
        <v>1</v>
      </c>
      <c r="F66">
        <f t="shared" si="1"/>
        <v>1</v>
      </c>
    </row>
    <row r="67" spans="1:6" x14ac:dyDescent="0.2">
      <c r="A67" t="s">
        <v>59</v>
      </c>
      <c r="B67" t="s">
        <v>64</v>
      </c>
      <c r="C67">
        <f>Activity_Counts!G67/(Activity_Counts!G67+Activity_Counts!N67+5)</f>
        <v>0</v>
      </c>
      <c r="D67">
        <f>Activity_Counts!N67/(Activity_Counts!G67+Activity_Counts!N67+5)</f>
        <v>0</v>
      </c>
      <c r="E67">
        <f>5/(Activity_Counts!G67+Activity_Counts!N67+5)</f>
        <v>1</v>
      </c>
      <c r="F67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41AC-C74A-5C4E-960A-580B5137BA96}">
  <dimension ref="A1:I82"/>
  <sheetViews>
    <sheetView zoomScale="150" zoomScaleNormal="259" workbookViewId="0">
      <selection activeCell="A8" sqref="A8:XFD8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3.1640625" bestFit="1" customWidth="1"/>
    <col min="8" max="8" width="15.5" bestFit="1" customWidth="1"/>
    <col min="9" max="9" width="18.1640625" bestFit="1" customWidth="1"/>
    <col min="10" max="10" width="20.1640625" bestFit="1" customWidth="1"/>
  </cols>
  <sheetData>
    <row r="1" spans="1:9" ht="17" x14ac:dyDescent="0.25">
      <c r="A1" t="s">
        <v>0</v>
      </c>
      <c r="B1" t="s">
        <v>1</v>
      </c>
      <c r="C1" s="1" t="s">
        <v>51</v>
      </c>
      <c r="D1" t="s">
        <v>52</v>
      </c>
      <c r="E1" t="s">
        <v>53</v>
      </c>
      <c r="F1" t="s">
        <v>7</v>
      </c>
      <c r="I1" s="2"/>
    </row>
    <row r="2" spans="1:9" x14ac:dyDescent="0.2">
      <c r="A2" t="s">
        <v>13</v>
      </c>
      <c r="B2" t="s">
        <v>45</v>
      </c>
      <c r="C2" s="1">
        <f>Activity_Counts!F2/(Activity_Counts!F2+Activity_Counts!M2+5)</f>
        <v>9.0909090909090912E-2</v>
      </c>
      <c r="D2" s="1">
        <f>Activity_Counts!M2/(Activity_Counts!F2+Activity_Counts!M2+5)</f>
        <v>0.75757575757575757</v>
      </c>
      <c r="E2">
        <f>5/(Activity_Counts!F2+Activity_Counts!M2+5)</f>
        <v>0.15151515151515152</v>
      </c>
      <c r="F2">
        <f t="shared" ref="F2:F63" si="0">SUM(C2:E2)</f>
        <v>1</v>
      </c>
    </row>
    <row r="3" spans="1:9" x14ac:dyDescent="0.2">
      <c r="A3" t="s">
        <v>14</v>
      </c>
      <c r="B3" t="s">
        <v>54</v>
      </c>
      <c r="C3" s="1">
        <f>Activity_Counts!F3/(Activity_Counts!F3+Activity_Counts!M3+5)</f>
        <v>0.2857142857142857</v>
      </c>
      <c r="D3" s="1">
        <f>Activity_Counts!M3/(Activity_Counts!F3+Activity_Counts!M3+5)</f>
        <v>0.35714285714285715</v>
      </c>
      <c r="E3">
        <f>5/(Activity_Counts!F3+Activity_Counts!M3+5)</f>
        <v>0.35714285714285715</v>
      </c>
      <c r="F3">
        <f t="shared" si="0"/>
        <v>1</v>
      </c>
    </row>
    <row r="4" spans="1:9" x14ac:dyDescent="0.2">
      <c r="A4" t="s">
        <v>14</v>
      </c>
      <c r="B4" t="s">
        <v>55</v>
      </c>
      <c r="C4" s="1">
        <f>Activity_Counts!F4/(Activity_Counts!F4+Activity_Counts!M4+5)</f>
        <v>0.27272727272727271</v>
      </c>
      <c r="D4" s="1">
        <f>Activity_Counts!M4/(Activity_Counts!F4+Activity_Counts!M4+5)</f>
        <v>0.5</v>
      </c>
      <c r="E4">
        <f>5/(Activity_Counts!F4+Activity_Counts!M4+5)</f>
        <v>0.22727272727272727</v>
      </c>
      <c r="F4">
        <f t="shared" si="0"/>
        <v>1</v>
      </c>
    </row>
    <row r="5" spans="1:9" x14ac:dyDescent="0.2">
      <c r="A5" t="s">
        <v>14</v>
      </c>
      <c r="B5" t="s">
        <v>56</v>
      </c>
      <c r="C5" s="1">
        <f>Activity_Counts!F5/(Activity_Counts!F5+Activity_Counts!M5+5)</f>
        <v>0</v>
      </c>
      <c r="D5" s="1">
        <f>Activity_Counts!M5/(Activity_Counts!F5+Activity_Counts!M5+5)</f>
        <v>0.78260869565217395</v>
      </c>
      <c r="E5">
        <f>5/(Activity_Counts!F5+Activity_Counts!M5+5)</f>
        <v>0.21739130434782608</v>
      </c>
      <c r="F5">
        <f t="shared" si="0"/>
        <v>1</v>
      </c>
    </row>
    <row r="6" spans="1:9" x14ac:dyDescent="0.2">
      <c r="A6" t="s">
        <v>14</v>
      </c>
      <c r="B6" t="s">
        <v>57</v>
      </c>
      <c r="C6" s="1">
        <f>Activity_Counts!F6/(Activity_Counts!F6+Activity_Counts!M6+5)</f>
        <v>0</v>
      </c>
      <c r="D6" s="1">
        <f>Activity_Counts!M6/(Activity_Counts!F6+Activity_Counts!M6+5)</f>
        <v>0.16666666666666666</v>
      </c>
      <c r="E6">
        <f>5/(Activity_Counts!F6+Activity_Counts!M6+5)</f>
        <v>0.83333333333333337</v>
      </c>
      <c r="F6">
        <f t="shared" si="0"/>
        <v>1</v>
      </c>
    </row>
    <row r="7" spans="1:9" x14ac:dyDescent="0.2">
      <c r="A7" t="s">
        <v>14</v>
      </c>
      <c r="B7" t="s">
        <v>58</v>
      </c>
      <c r="C7" s="1">
        <f>Activity_Counts!F7/(Activity_Counts!F7+Activity_Counts!M7+5)</f>
        <v>0</v>
      </c>
      <c r="D7" s="1">
        <f>Activity_Counts!M7/(Activity_Counts!F7+Activity_Counts!M7+5)</f>
        <v>0.8529411764705882</v>
      </c>
      <c r="E7">
        <f>5/(Activity_Counts!F7+Activity_Counts!M7+5)</f>
        <v>0.14705882352941177</v>
      </c>
      <c r="F7">
        <f t="shared" si="0"/>
        <v>1</v>
      </c>
    </row>
    <row r="8" spans="1:9" x14ac:dyDescent="0.2">
      <c r="A8" t="s">
        <v>15</v>
      </c>
      <c r="B8" t="s">
        <v>54</v>
      </c>
      <c r="C8" s="1">
        <f>Activity_Counts!F8/(Activity_Counts!F8+Activity_Counts!M8+5)</f>
        <v>0.30769230769230771</v>
      </c>
      <c r="D8" s="1">
        <f>Activity_Counts!M8/(Activity_Counts!F8+Activity_Counts!M8+5)</f>
        <v>0.30769230769230771</v>
      </c>
      <c r="E8">
        <f>5/(Activity_Counts!F8+Activity_Counts!M8+5)</f>
        <v>0.38461538461538464</v>
      </c>
      <c r="F8">
        <f t="shared" si="0"/>
        <v>1</v>
      </c>
    </row>
    <row r="9" spans="1:9" x14ac:dyDescent="0.2">
      <c r="A9" t="s">
        <v>15</v>
      </c>
      <c r="B9" t="s">
        <v>55</v>
      </c>
      <c r="C9" s="1">
        <f>Activity_Counts!F9/(Activity_Counts!F9+Activity_Counts!M9+5)</f>
        <v>0.5161290322580645</v>
      </c>
      <c r="D9" s="1">
        <f>Activity_Counts!M9/(Activity_Counts!F9+Activity_Counts!M9+5)</f>
        <v>0.32258064516129031</v>
      </c>
      <c r="E9">
        <f>5/(Activity_Counts!F9+Activity_Counts!M9+5)</f>
        <v>0.16129032258064516</v>
      </c>
      <c r="F9">
        <f t="shared" si="0"/>
        <v>0.99999999999999989</v>
      </c>
    </row>
    <row r="10" spans="1:9" x14ac:dyDescent="0.2">
      <c r="A10" t="s">
        <v>15</v>
      </c>
      <c r="B10" t="s">
        <v>56</v>
      </c>
      <c r="C10" s="1">
        <f>Activity_Counts!F10/(Activity_Counts!F10+Activity_Counts!M10+5)</f>
        <v>0.1</v>
      </c>
      <c r="D10" s="1">
        <f>Activity_Counts!M10/(Activity_Counts!F10+Activity_Counts!M10+5)</f>
        <v>0.4</v>
      </c>
      <c r="E10">
        <f>5/(Activity_Counts!F10+Activity_Counts!M10+5)</f>
        <v>0.5</v>
      </c>
      <c r="F10">
        <f t="shared" si="0"/>
        <v>1</v>
      </c>
    </row>
    <row r="11" spans="1:9" x14ac:dyDescent="0.2">
      <c r="A11" t="s">
        <v>15</v>
      </c>
      <c r="B11" t="s">
        <v>57</v>
      </c>
      <c r="C11" s="1">
        <f>Activity_Counts!F11/(Activity_Counts!F11+Activity_Counts!M11+5)</f>
        <v>0</v>
      </c>
      <c r="D11" s="1">
        <f>Activity_Counts!M11/(Activity_Counts!F11+Activity_Counts!M11+5)</f>
        <v>0.2857142857142857</v>
      </c>
      <c r="E11">
        <f>5/(Activity_Counts!F11+Activity_Counts!M11+5)</f>
        <v>0.7142857142857143</v>
      </c>
      <c r="F11">
        <f t="shared" si="0"/>
        <v>1</v>
      </c>
    </row>
    <row r="12" spans="1:9" x14ac:dyDescent="0.2">
      <c r="A12" t="s">
        <v>15</v>
      </c>
      <c r="B12" t="s">
        <v>58</v>
      </c>
      <c r="C12" s="1">
        <f>Activity_Counts!F12/(Activity_Counts!F12+Activity_Counts!M12+5)</f>
        <v>0</v>
      </c>
      <c r="D12" s="1">
        <f>Activity_Counts!M12/(Activity_Counts!F12+Activity_Counts!M12+5)</f>
        <v>0.6428571428571429</v>
      </c>
      <c r="E12">
        <f>5/(Activity_Counts!F12+Activity_Counts!M12+5)</f>
        <v>0.35714285714285715</v>
      </c>
      <c r="F12">
        <f t="shared" si="0"/>
        <v>1</v>
      </c>
    </row>
    <row r="13" spans="1:9" x14ac:dyDescent="0.2">
      <c r="A13" t="s">
        <v>16</v>
      </c>
      <c r="B13" t="s">
        <v>17</v>
      </c>
      <c r="C13" s="1">
        <f>Activity_Counts!F13/(Activity_Counts!F13+Activity_Counts!M13+5)</f>
        <v>0.30666666666666664</v>
      </c>
      <c r="D13" s="1">
        <f>Activity_Counts!M13/(Activity_Counts!F13+Activity_Counts!M13+5)</f>
        <v>0.62666666666666671</v>
      </c>
      <c r="E13">
        <f>5/(Activity_Counts!F13+Activity_Counts!M13+5)</f>
        <v>6.6666666666666666E-2</v>
      </c>
      <c r="F13">
        <f t="shared" si="0"/>
        <v>1</v>
      </c>
    </row>
    <row r="14" spans="1:9" x14ac:dyDescent="0.2">
      <c r="A14" t="s">
        <v>16</v>
      </c>
      <c r="B14" t="s">
        <v>18</v>
      </c>
      <c r="C14" s="1">
        <f>Activity_Counts!F14/(Activity_Counts!F14+Activity_Counts!M14+5)</f>
        <v>0.29333333333333333</v>
      </c>
      <c r="D14" s="1">
        <f>Activity_Counts!M14/(Activity_Counts!F14+Activity_Counts!M14+5)</f>
        <v>0.64</v>
      </c>
      <c r="E14">
        <f>5/(Activity_Counts!F14+Activity_Counts!M14+5)</f>
        <v>6.6666666666666666E-2</v>
      </c>
      <c r="F14">
        <f t="shared" si="0"/>
        <v>1</v>
      </c>
    </row>
    <row r="15" spans="1:9" x14ac:dyDescent="0.2">
      <c r="A15" t="s">
        <v>19</v>
      </c>
      <c r="B15" t="s">
        <v>20</v>
      </c>
      <c r="C15" s="1">
        <f>Activity_Counts!F15/(Activity_Counts!F15+Activity_Counts!M15+5)</f>
        <v>3.125E-2</v>
      </c>
      <c r="D15" s="1">
        <f>Activity_Counts!M15/(Activity_Counts!F15+Activity_Counts!M15+5)</f>
        <v>0.8125</v>
      </c>
      <c r="E15">
        <f>5/(Activity_Counts!F15+Activity_Counts!M15+5)</f>
        <v>0.15625</v>
      </c>
      <c r="F15">
        <f t="shared" si="0"/>
        <v>1</v>
      </c>
    </row>
    <row r="16" spans="1:9" x14ac:dyDescent="0.2">
      <c r="A16" t="s">
        <v>19</v>
      </c>
      <c r="B16" t="s">
        <v>21</v>
      </c>
      <c r="C16" s="1">
        <f>Activity_Counts!F16/(Activity_Counts!F16+Activity_Counts!M16+5)</f>
        <v>3.8461538461538464E-2</v>
      </c>
      <c r="D16" s="1">
        <f>Activity_Counts!M16/(Activity_Counts!F16+Activity_Counts!M16+5)</f>
        <v>0.76923076923076927</v>
      </c>
      <c r="E16">
        <f>5/(Activity_Counts!F16+Activity_Counts!M16+5)</f>
        <v>0.19230769230769232</v>
      </c>
      <c r="F16">
        <f t="shared" si="0"/>
        <v>1</v>
      </c>
    </row>
    <row r="17" spans="1:6" x14ac:dyDescent="0.2">
      <c r="A17" t="s">
        <v>22</v>
      </c>
      <c r="B17" t="s">
        <v>20</v>
      </c>
      <c r="C17" s="1">
        <f>Activity_Counts!F17/(Activity_Counts!F17+Activity_Counts!M17+5)</f>
        <v>0</v>
      </c>
      <c r="D17" s="1">
        <f>Activity_Counts!M17/(Activity_Counts!F17+Activity_Counts!M17+5)</f>
        <v>0.82758620689655171</v>
      </c>
      <c r="E17">
        <f>5/(Activity_Counts!F17+Activity_Counts!M17+5)</f>
        <v>0.17241379310344829</v>
      </c>
      <c r="F17">
        <f t="shared" si="0"/>
        <v>1</v>
      </c>
    </row>
    <row r="18" spans="1:6" x14ac:dyDescent="0.2">
      <c r="A18" t="s">
        <v>22</v>
      </c>
      <c r="B18" t="s">
        <v>21</v>
      </c>
      <c r="C18" s="1">
        <f>Activity_Counts!F18/(Activity_Counts!F18+Activity_Counts!M18+5)</f>
        <v>0</v>
      </c>
      <c r="D18" s="1">
        <f>Activity_Counts!M18/(Activity_Counts!F18+Activity_Counts!M18+5)</f>
        <v>0.75</v>
      </c>
      <c r="E18">
        <f>5/(Activity_Counts!F18+Activity_Counts!M18+5)</f>
        <v>0.25</v>
      </c>
      <c r="F18">
        <f t="shared" si="0"/>
        <v>1</v>
      </c>
    </row>
    <row r="19" spans="1:6" x14ac:dyDescent="0.2">
      <c r="A19" t="s">
        <v>23</v>
      </c>
      <c r="B19" t="s">
        <v>20</v>
      </c>
      <c r="C19" s="1">
        <f>Activity_Counts!F19/(Activity_Counts!F19+Activity_Counts!M19+5)</f>
        <v>0.25</v>
      </c>
      <c r="D19" s="1">
        <f>Activity_Counts!M19/(Activity_Counts!F19+Activity_Counts!M19+5)</f>
        <v>0.625</v>
      </c>
      <c r="E19">
        <f>5/(Activity_Counts!F19+Activity_Counts!M19+5)</f>
        <v>0.125</v>
      </c>
      <c r="F19">
        <f t="shared" si="0"/>
        <v>1</v>
      </c>
    </row>
    <row r="20" spans="1:6" x14ac:dyDescent="0.2">
      <c r="A20" t="s">
        <v>23</v>
      </c>
      <c r="B20" t="s">
        <v>21</v>
      </c>
      <c r="C20" s="1">
        <f>Activity_Counts!F20/(Activity_Counts!F20+Activity_Counts!M20+5)</f>
        <v>0</v>
      </c>
      <c r="D20" s="1">
        <f>Activity_Counts!M20/(Activity_Counts!F20+Activity_Counts!M20+5)</f>
        <v>0.75</v>
      </c>
      <c r="E20">
        <f>5/(Activity_Counts!F20+Activity_Counts!M20+5)</f>
        <v>0.25</v>
      </c>
      <c r="F20">
        <f t="shared" si="0"/>
        <v>1</v>
      </c>
    </row>
    <row r="21" spans="1:6" x14ac:dyDescent="0.2">
      <c r="A21" t="s">
        <v>24</v>
      </c>
      <c r="B21" t="s">
        <v>20</v>
      </c>
      <c r="C21" s="1">
        <f>Activity_Counts!F21/(Activity_Counts!F21+Activity_Counts!M21+5)</f>
        <v>0</v>
      </c>
      <c r="D21" s="1">
        <f>Activity_Counts!M21/(Activity_Counts!F21+Activity_Counts!M21+5)</f>
        <v>0.83870967741935487</v>
      </c>
      <c r="E21">
        <f>5/(Activity_Counts!F21+Activity_Counts!M21+5)</f>
        <v>0.16129032258064516</v>
      </c>
      <c r="F21">
        <f t="shared" si="0"/>
        <v>1</v>
      </c>
    </row>
    <row r="22" spans="1:6" x14ac:dyDescent="0.2">
      <c r="A22" t="s">
        <v>24</v>
      </c>
      <c r="B22" t="s">
        <v>21</v>
      </c>
      <c r="C22" s="1">
        <f>Activity_Counts!F22/(Activity_Counts!F22+Activity_Counts!M22+5)</f>
        <v>0</v>
      </c>
      <c r="D22" s="1">
        <f>Activity_Counts!M22/(Activity_Counts!F22+Activity_Counts!M22+5)</f>
        <v>0.66666666666666663</v>
      </c>
      <c r="E22">
        <f>5/(Activity_Counts!F22+Activity_Counts!M22+5)</f>
        <v>0.33333333333333331</v>
      </c>
      <c r="F22">
        <f t="shared" si="0"/>
        <v>1</v>
      </c>
    </row>
    <row r="23" spans="1:6" x14ac:dyDescent="0.2">
      <c r="A23" t="s">
        <v>25</v>
      </c>
      <c r="B23" t="s">
        <v>20</v>
      </c>
      <c r="C23" s="1">
        <f>Activity_Counts!F23/(Activity_Counts!F23+Activity_Counts!M23+5)</f>
        <v>0</v>
      </c>
      <c r="D23" s="1">
        <f>Activity_Counts!M23/(Activity_Counts!F23+Activity_Counts!M23+5)</f>
        <v>0.83870967741935487</v>
      </c>
      <c r="E23">
        <f>5/(Activity_Counts!F23+Activity_Counts!M23+5)</f>
        <v>0.16129032258064516</v>
      </c>
      <c r="F23">
        <f t="shared" si="0"/>
        <v>1</v>
      </c>
    </row>
    <row r="24" spans="1:6" x14ac:dyDescent="0.2">
      <c r="A24" t="s">
        <v>25</v>
      </c>
      <c r="B24" t="s">
        <v>21</v>
      </c>
      <c r="C24" s="1">
        <f>Activity_Counts!F24/(Activity_Counts!F24+Activity_Counts!M24+5)</f>
        <v>5.8823529411764705E-2</v>
      </c>
      <c r="D24" s="1">
        <f>Activity_Counts!M24/(Activity_Counts!F24+Activity_Counts!M24+5)</f>
        <v>0.6470588235294118</v>
      </c>
      <c r="E24">
        <f>5/(Activity_Counts!F24+Activity_Counts!M24+5)</f>
        <v>0.29411764705882354</v>
      </c>
      <c r="F24">
        <f t="shared" si="0"/>
        <v>1</v>
      </c>
    </row>
    <row r="25" spans="1:6" x14ac:dyDescent="0.2">
      <c r="A25" t="s">
        <v>26</v>
      </c>
      <c r="B25" t="s">
        <v>20</v>
      </c>
      <c r="C25" s="1">
        <f>Activity_Counts!F25/(Activity_Counts!F25+Activity_Counts!M25+5)</f>
        <v>0.73333333333333328</v>
      </c>
      <c r="D25" s="1">
        <f>Activity_Counts!M25/(Activity_Counts!F25+Activity_Counts!M25+5)</f>
        <v>0.1</v>
      </c>
      <c r="E25">
        <f>5/(Activity_Counts!F25+Activity_Counts!M25+5)</f>
        <v>0.16666666666666666</v>
      </c>
      <c r="F25">
        <f t="shared" si="0"/>
        <v>0.99999999999999989</v>
      </c>
    </row>
    <row r="26" spans="1:6" x14ac:dyDescent="0.2">
      <c r="A26" t="s">
        <v>26</v>
      </c>
      <c r="B26" t="s">
        <v>21</v>
      </c>
      <c r="C26" s="1">
        <f>Activity_Counts!F26/(Activity_Counts!F26+Activity_Counts!M26+5)</f>
        <v>6.8965517241379309E-2</v>
      </c>
      <c r="D26" s="1">
        <f>Activity_Counts!M26/(Activity_Counts!F26+Activity_Counts!M26+5)</f>
        <v>0.75862068965517238</v>
      </c>
      <c r="E26">
        <f>5/(Activity_Counts!F26+Activity_Counts!M26+5)</f>
        <v>0.17241379310344829</v>
      </c>
      <c r="F26">
        <f t="shared" si="0"/>
        <v>1</v>
      </c>
    </row>
    <row r="27" spans="1:6" x14ac:dyDescent="0.2">
      <c r="A27" t="s">
        <v>27</v>
      </c>
      <c r="B27" t="s">
        <v>20</v>
      </c>
      <c r="C27" s="1">
        <f>Activity_Counts!F27/(Activity_Counts!F27+Activity_Counts!M27+5)</f>
        <v>0</v>
      </c>
      <c r="D27" s="1">
        <f>Activity_Counts!M27/(Activity_Counts!F27+Activity_Counts!M27+5)</f>
        <v>0.83333333333333337</v>
      </c>
      <c r="E27">
        <f>5/(Activity_Counts!F27+Activity_Counts!M27+5)</f>
        <v>0.16666666666666666</v>
      </c>
      <c r="F27">
        <f t="shared" si="0"/>
        <v>1</v>
      </c>
    </row>
    <row r="28" spans="1:6" x14ac:dyDescent="0.2">
      <c r="A28" t="s">
        <v>27</v>
      </c>
      <c r="B28" t="s">
        <v>21</v>
      </c>
      <c r="C28" s="1">
        <f>Activity_Counts!F28/(Activity_Counts!F28+Activity_Counts!M28+5)</f>
        <v>0</v>
      </c>
      <c r="D28" s="1">
        <f>Activity_Counts!M28/(Activity_Counts!F28+Activity_Counts!M28+5)</f>
        <v>0.375</v>
      </c>
      <c r="E28">
        <f>5/(Activity_Counts!F28+Activity_Counts!M28+5)</f>
        <v>0.625</v>
      </c>
      <c r="F28">
        <f t="shared" si="0"/>
        <v>1</v>
      </c>
    </row>
    <row r="29" spans="1:6" x14ac:dyDescent="0.2">
      <c r="A29" t="s">
        <v>28</v>
      </c>
      <c r="B29" t="s">
        <v>20</v>
      </c>
      <c r="C29" s="1">
        <f>Activity_Counts!F29/(Activity_Counts!F29+Activity_Counts!M29+5)</f>
        <v>0</v>
      </c>
      <c r="D29" s="1">
        <f>Activity_Counts!M29/(Activity_Counts!F29+Activity_Counts!M29+5)</f>
        <v>0.8214285714285714</v>
      </c>
      <c r="E29">
        <f>5/(Activity_Counts!F29+Activity_Counts!M29+5)</f>
        <v>0.17857142857142858</v>
      </c>
      <c r="F29">
        <f t="shared" si="0"/>
        <v>1</v>
      </c>
    </row>
    <row r="30" spans="1:6" x14ac:dyDescent="0.2">
      <c r="A30" t="s">
        <v>28</v>
      </c>
      <c r="B30" t="s">
        <v>21</v>
      </c>
      <c r="C30" s="1">
        <f>Activity_Counts!F30/(Activity_Counts!F30+Activity_Counts!M30+5)</f>
        <v>7.6923076923076927E-2</v>
      </c>
      <c r="D30" s="1">
        <f>Activity_Counts!M30/(Activity_Counts!F30+Activity_Counts!M30+5)</f>
        <v>0.53846153846153844</v>
      </c>
      <c r="E30">
        <f>5/(Activity_Counts!F30+Activity_Counts!M30+5)</f>
        <v>0.38461538461538464</v>
      </c>
      <c r="F30">
        <f t="shared" si="0"/>
        <v>1</v>
      </c>
    </row>
    <row r="31" spans="1:6" x14ac:dyDescent="0.2">
      <c r="A31" t="s">
        <v>29</v>
      </c>
      <c r="B31" t="s">
        <v>30</v>
      </c>
      <c r="C31" s="1">
        <f>Activity_Counts!F31/(Activity_Counts!F31+Activity_Counts!M31+5)</f>
        <v>0</v>
      </c>
      <c r="D31" s="1">
        <f>Activity_Counts!M31/(Activity_Counts!F31+Activity_Counts!M31+5)</f>
        <v>0.82758620689655171</v>
      </c>
      <c r="E31">
        <f>5/(Activity_Counts!F31+Activity_Counts!M31+5)</f>
        <v>0.17241379310344829</v>
      </c>
      <c r="F31">
        <f t="shared" si="0"/>
        <v>1</v>
      </c>
    </row>
    <row r="32" spans="1:6" x14ac:dyDescent="0.2">
      <c r="A32" t="s">
        <v>29</v>
      </c>
      <c r="B32" t="s">
        <v>31</v>
      </c>
      <c r="C32" s="1">
        <f>Activity_Counts!F32/(Activity_Counts!F32+Activity_Counts!M32+5)</f>
        <v>0</v>
      </c>
      <c r="D32" s="1">
        <f>Activity_Counts!M32/(Activity_Counts!F32+Activity_Counts!M32+5)</f>
        <v>0.77272727272727271</v>
      </c>
      <c r="E32">
        <f>5/(Activity_Counts!F32+Activity_Counts!M32+5)</f>
        <v>0.22727272727272727</v>
      </c>
      <c r="F32">
        <f t="shared" si="0"/>
        <v>1</v>
      </c>
    </row>
    <row r="33" spans="1:6" x14ac:dyDescent="0.2">
      <c r="A33" t="s">
        <v>32</v>
      </c>
      <c r="B33" t="s">
        <v>30</v>
      </c>
      <c r="C33" s="1">
        <f>Activity_Counts!F33/(Activity_Counts!F33+Activity_Counts!M33+5)</f>
        <v>0</v>
      </c>
      <c r="D33" s="1">
        <f>Activity_Counts!M33/(Activity_Counts!F33+Activity_Counts!M33+5)</f>
        <v>0.8214285714285714</v>
      </c>
      <c r="E33">
        <f>5/(Activity_Counts!F33+Activity_Counts!M33+5)</f>
        <v>0.17857142857142858</v>
      </c>
      <c r="F33">
        <f t="shared" si="0"/>
        <v>1</v>
      </c>
    </row>
    <row r="34" spans="1:6" x14ac:dyDescent="0.2">
      <c r="A34" t="s">
        <v>32</v>
      </c>
      <c r="B34" t="s">
        <v>31</v>
      </c>
      <c r="C34" s="1">
        <f>Activity_Counts!F34/(Activity_Counts!F34+Activity_Counts!M34+5)</f>
        <v>0</v>
      </c>
      <c r="D34" s="1">
        <f>Activity_Counts!M34/(Activity_Counts!F34+Activity_Counts!M34+5)</f>
        <v>0.8214285714285714</v>
      </c>
      <c r="E34">
        <f>5/(Activity_Counts!F34+Activity_Counts!M34+5)</f>
        <v>0.17857142857142858</v>
      </c>
      <c r="F34">
        <f t="shared" si="0"/>
        <v>1</v>
      </c>
    </row>
    <row r="35" spans="1:6" x14ac:dyDescent="0.2">
      <c r="A35" t="s">
        <v>33</v>
      </c>
      <c r="B35" t="s">
        <v>30</v>
      </c>
      <c r="C35" s="1">
        <f>Activity_Counts!F35/(Activity_Counts!F35+Activity_Counts!M35+5)</f>
        <v>0</v>
      </c>
      <c r="D35" s="1">
        <f>Activity_Counts!M35/(Activity_Counts!F35+Activity_Counts!M35+5)</f>
        <v>0.82758620689655171</v>
      </c>
      <c r="E35">
        <f>5/(Activity_Counts!F35+Activity_Counts!M35+5)</f>
        <v>0.17241379310344829</v>
      </c>
      <c r="F35">
        <f t="shared" si="0"/>
        <v>1</v>
      </c>
    </row>
    <row r="36" spans="1:6" x14ac:dyDescent="0.2">
      <c r="A36" t="s">
        <v>33</v>
      </c>
      <c r="B36" t="s">
        <v>31</v>
      </c>
      <c r="C36" s="1">
        <f>Activity_Counts!F36/(Activity_Counts!F36+Activity_Counts!M36+5)</f>
        <v>0</v>
      </c>
      <c r="D36" s="1">
        <f>Activity_Counts!M36/(Activity_Counts!F36+Activity_Counts!M36+5)</f>
        <v>0.82758620689655171</v>
      </c>
      <c r="E36">
        <f>5/(Activity_Counts!F36+Activity_Counts!M36+5)</f>
        <v>0.17241379310344829</v>
      </c>
      <c r="F36">
        <f t="shared" si="0"/>
        <v>1</v>
      </c>
    </row>
    <row r="37" spans="1:6" x14ac:dyDescent="0.2">
      <c r="A37" t="s">
        <v>34</v>
      </c>
      <c r="B37" t="s">
        <v>30</v>
      </c>
      <c r="C37" s="1">
        <f>Activity_Counts!F37/(Activity_Counts!F37+Activity_Counts!M37+5)</f>
        <v>0</v>
      </c>
      <c r="D37" s="1">
        <f>Activity_Counts!M37/(Activity_Counts!F37+Activity_Counts!M37+5)</f>
        <v>0.79166666666666663</v>
      </c>
      <c r="E37">
        <f>5/(Activity_Counts!F37+Activity_Counts!M37+5)</f>
        <v>0.20833333333333334</v>
      </c>
      <c r="F37">
        <f t="shared" si="0"/>
        <v>1</v>
      </c>
    </row>
    <row r="38" spans="1:6" x14ac:dyDescent="0.2">
      <c r="A38" t="s">
        <v>34</v>
      </c>
      <c r="B38" t="s">
        <v>31</v>
      </c>
      <c r="C38" s="1">
        <f>Activity_Counts!F38/(Activity_Counts!F38+Activity_Counts!M38+5)</f>
        <v>0</v>
      </c>
      <c r="D38" s="1">
        <f>Activity_Counts!M38/(Activity_Counts!F38+Activity_Counts!M38+5)</f>
        <v>0.79166666666666663</v>
      </c>
      <c r="E38">
        <f>5/(Activity_Counts!F38+Activity_Counts!M38+5)</f>
        <v>0.20833333333333334</v>
      </c>
      <c r="F38">
        <f t="shared" si="0"/>
        <v>1</v>
      </c>
    </row>
    <row r="39" spans="1:6" x14ac:dyDescent="0.2">
      <c r="A39" t="s">
        <v>35</v>
      </c>
      <c r="B39" t="s">
        <v>30</v>
      </c>
      <c r="C39" s="1">
        <f>Activity_Counts!F39/(Activity_Counts!F39+Activity_Counts!M39+5)</f>
        <v>0.24742268041237114</v>
      </c>
      <c r="D39" s="1">
        <f>Activity_Counts!M39/(Activity_Counts!F39+Activity_Counts!M39+5)</f>
        <v>0.7010309278350515</v>
      </c>
      <c r="E39">
        <f>5/(Activity_Counts!F39+Activity_Counts!M39+5)</f>
        <v>5.1546391752577317E-2</v>
      </c>
      <c r="F39">
        <f t="shared" si="0"/>
        <v>1</v>
      </c>
    </row>
    <row r="40" spans="1:6" x14ac:dyDescent="0.2">
      <c r="A40" t="s">
        <v>35</v>
      </c>
      <c r="B40" t="s">
        <v>31</v>
      </c>
      <c r="C40" s="1">
        <f>Activity_Counts!F40/(Activity_Counts!F40+Activity_Counts!M40+5)</f>
        <v>0.28235294117647058</v>
      </c>
      <c r="D40" s="1">
        <f>Activity_Counts!M40/(Activity_Counts!F40+Activity_Counts!M40+5)</f>
        <v>0.6588235294117647</v>
      </c>
      <c r="E40">
        <f>5/(Activity_Counts!F40+Activity_Counts!M40+5)</f>
        <v>5.8823529411764705E-2</v>
      </c>
      <c r="F40">
        <f t="shared" si="0"/>
        <v>1</v>
      </c>
    </row>
    <row r="41" spans="1:6" x14ac:dyDescent="0.2">
      <c r="A41" t="s">
        <v>36</v>
      </c>
      <c r="B41" t="s">
        <v>30</v>
      </c>
      <c r="C41" s="1">
        <f>Activity_Counts!F41/(Activity_Counts!F41+Activity_Counts!M41+5)</f>
        <v>0.23529411764705882</v>
      </c>
      <c r="D41" s="1">
        <f>Activity_Counts!M41/(Activity_Counts!F41+Activity_Counts!M41+5)</f>
        <v>0.71568627450980393</v>
      </c>
      <c r="E41">
        <f>5/(Activity_Counts!F41+Activity_Counts!M41+5)</f>
        <v>4.9019607843137254E-2</v>
      </c>
      <c r="F41">
        <f t="shared" si="0"/>
        <v>1</v>
      </c>
    </row>
    <row r="42" spans="1:6" x14ac:dyDescent="0.2">
      <c r="A42" t="s">
        <v>36</v>
      </c>
      <c r="B42" t="s">
        <v>31</v>
      </c>
      <c r="C42" s="1">
        <f>Activity_Counts!F42/(Activity_Counts!F42+Activity_Counts!M42+5)</f>
        <v>0.25263157894736843</v>
      </c>
      <c r="D42" s="1">
        <f>Activity_Counts!M42/(Activity_Counts!F42+Activity_Counts!M42+5)</f>
        <v>0.69473684210526321</v>
      </c>
      <c r="E42">
        <f>5/(Activity_Counts!F42+Activity_Counts!M42+5)</f>
        <v>5.2631578947368418E-2</v>
      </c>
      <c r="F42">
        <f t="shared" si="0"/>
        <v>1</v>
      </c>
    </row>
    <row r="43" spans="1:6" x14ac:dyDescent="0.2">
      <c r="A43" t="s">
        <v>37</v>
      </c>
      <c r="B43" t="s">
        <v>30</v>
      </c>
      <c r="C43" s="1">
        <f>Activity_Counts!F43/(Activity_Counts!F43+Activity_Counts!M43+5)</f>
        <v>0.3</v>
      </c>
      <c r="D43" s="1">
        <f>Activity_Counts!M43/(Activity_Counts!F43+Activity_Counts!M43+5)</f>
        <v>0.63749999999999996</v>
      </c>
      <c r="E43">
        <f>5/(Activity_Counts!F43+Activity_Counts!M43+5)</f>
        <v>6.25E-2</v>
      </c>
      <c r="F43">
        <f t="shared" si="0"/>
        <v>1</v>
      </c>
    </row>
    <row r="44" spans="1:6" x14ac:dyDescent="0.2">
      <c r="A44" t="s">
        <v>37</v>
      </c>
      <c r="B44" t="s">
        <v>31</v>
      </c>
      <c r="C44" s="1">
        <f>Activity_Counts!F44/(Activity_Counts!F44+Activity_Counts!M44+5)</f>
        <v>0.30379746835443039</v>
      </c>
      <c r="D44" s="1">
        <f>Activity_Counts!M44/(Activity_Counts!F44+Activity_Counts!M44+5)</f>
        <v>0.63291139240506333</v>
      </c>
      <c r="E44">
        <f>5/(Activity_Counts!F44+Activity_Counts!M44+5)</f>
        <v>6.3291139240506333E-2</v>
      </c>
      <c r="F44">
        <f t="shared" si="0"/>
        <v>1</v>
      </c>
    </row>
    <row r="45" spans="1:6" x14ac:dyDescent="0.2">
      <c r="A45" t="s">
        <v>38</v>
      </c>
      <c r="B45" t="s">
        <v>30</v>
      </c>
      <c r="C45" s="1">
        <f>Activity_Counts!F45/(Activity_Counts!F45+Activity_Counts!M45+5)</f>
        <v>0.28915662650602408</v>
      </c>
      <c r="D45" s="1">
        <f>Activity_Counts!M45/(Activity_Counts!F45+Activity_Counts!M45+5)</f>
        <v>0.6506024096385542</v>
      </c>
      <c r="E45">
        <f>5/(Activity_Counts!F45+Activity_Counts!M45+5)</f>
        <v>6.0240963855421686E-2</v>
      </c>
      <c r="F45">
        <f t="shared" si="0"/>
        <v>0.99999999999999989</v>
      </c>
    </row>
    <row r="46" spans="1:6" x14ac:dyDescent="0.2">
      <c r="A46" t="s">
        <v>38</v>
      </c>
      <c r="B46" t="s">
        <v>31</v>
      </c>
      <c r="C46" s="1">
        <f>Activity_Counts!F46/(Activity_Counts!F46+Activity_Counts!M46+5)</f>
        <v>0.28915662650602408</v>
      </c>
      <c r="D46" s="1">
        <f>Activity_Counts!M46/(Activity_Counts!F46+Activity_Counts!M46+5)</f>
        <v>0.6506024096385542</v>
      </c>
      <c r="E46">
        <f>5/(Activity_Counts!F46+Activity_Counts!M46+5)</f>
        <v>6.0240963855421686E-2</v>
      </c>
      <c r="F46">
        <f t="shared" si="0"/>
        <v>0.99999999999999989</v>
      </c>
    </row>
    <row r="47" spans="1:6" x14ac:dyDescent="0.2">
      <c r="A47" t="s">
        <v>39</v>
      </c>
      <c r="B47" t="s">
        <v>30</v>
      </c>
      <c r="C47" s="1">
        <f>Activity_Counts!F47/(Activity_Counts!F47+Activity_Counts!M47+5)</f>
        <v>0.23529411764705882</v>
      </c>
      <c r="D47" s="1">
        <f>Activity_Counts!M47/(Activity_Counts!F47+Activity_Counts!M47+5)</f>
        <v>0.71568627450980393</v>
      </c>
      <c r="E47">
        <f>5/(Activity_Counts!F47+Activity_Counts!M47+5)</f>
        <v>4.9019607843137254E-2</v>
      </c>
      <c r="F47">
        <f t="shared" si="0"/>
        <v>1</v>
      </c>
    </row>
    <row r="48" spans="1:6" x14ac:dyDescent="0.2">
      <c r="A48" t="s">
        <v>39</v>
      </c>
      <c r="B48" t="s">
        <v>31</v>
      </c>
      <c r="C48" s="1">
        <f>Activity_Counts!F48/(Activity_Counts!F48+Activity_Counts!M48+5)</f>
        <v>0.23529411764705882</v>
      </c>
      <c r="D48" s="1">
        <f>Activity_Counts!M48/(Activity_Counts!F48+Activity_Counts!M48+5)</f>
        <v>0.71568627450980393</v>
      </c>
      <c r="E48">
        <f>5/(Activity_Counts!F48+Activity_Counts!M48+5)</f>
        <v>4.9019607843137254E-2</v>
      </c>
      <c r="F48">
        <f t="shared" si="0"/>
        <v>1</v>
      </c>
    </row>
    <row r="49" spans="1:6" x14ac:dyDescent="0.2">
      <c r="A49" t="s">
        <v>40</v>
      </c>
      <c r="B49" t="s">
        <v>30</v>
      </c>
      <c r="C49" s="1">
        <f>Activity_Counts!F49/(Activity_Counts!F49+Activity_Counts!M49+5)</f>
        <v>7.0175438596491224E-2</v>
      </c>
      <c r="D49" s="1">
        <f>Activity_Counts!M49/(Activity_Counts!F49+Activity_Counts!M49+5)</f>
        <v>0.84210526315789469</v>
      </c>
      <c r="E49">
        <f>5/(Activity_Counts!F49+Activity_Counts!M49+5)</f>
        <v>8.771929824561403E-2</v>
      </c>
      <c r="F49">
        <f t="shared" si="0"/>
        <v>1</v>
      </c>
    </row>
    <row r="50" spans="1:6" x14ac:dyDescent="0.2">
      <c r="A50" t="s">
        <v>40</v>
      </c>
      <c r="B50" t="s">
        <v>31</v>
      </c>
      <c r="C50" s="1">
        <f>Activity_Counts!F50/(Activity_Counts!F50+Activity_Counts!M50+5)</f>
        <v>6.1538461538461542E-2</v>
      </c>
      <c r="D50" s="1">
        <f>Activity_Counts!M50/(Activity_Counts!F50+Activity_Counts!M50+5)</f>
        <v>0.86153846153846159</v>
      </c>
      <c r="E50">
        <f>5/(Activity_Counts!F50+Activity_Counts!M50+5)</f>
        <v>7.6923076923076927E-2</v>
      </c>
      <c r="F50">
        <f t="shared" si="0"/>
        <v>1</v>
      </c>
    </row>
    <row r="51" spans="1:6" x14ac:dyDescent="0.2">
      <c r="A51" t="s">
        <v>41</v>
      </c>
      <c r="B51" t="s">
        <v>30</v>
      </c>
      <c r="C51" s="1">
        <f>Activity_Counts!F51/(Activity_Counts!F51+Activity_Counts!M51+5)</f>
        <v>0</v>
      </c>
      <c r="D51" s="1">
        <f>Activity_Counts!M51/(Activity_Counts!F51+Activity_Counts!M51+5)</f>
        <v>0.81481481481481477</v>
      </c>
      <c r="E51">
        <f>5/(Activity_Counts!F51+Activity_Counts!M51+5)</f>
        <v>0.18518518518518517</v>
      </c>
      <c r="F51">
        <f t="shared" si="0"/>
        <v>1</v>
      </c>
    </row>
    <row r="52" spans="1:6" x14ac:dyDescent="0.2">
      <c r="A52" t="s">
        <v>41</v>
      </c>
      <c r="B52" t="s">
        <v>31</v>
      </c>
      <c r="C52" s="1">
        <f>Activity_Counts!F52/(Activity_Counts!F52+Activity_Counts!M52+5)</f>
        <v>0</v>
      </c>
      <c r="D52" s="1">
        <f>Activity_Counts!M52/(Activity_Counts!F52+Activity_Counts!M52+5)</f>
        <v>0.73684210526315785</v>
      </c>
      <c r="E52">
        <f>5/(Activity_Counts!F52+Activity_Counts!M52+5)</f>
        <v>0.26315789473684209</v>
      </c>
      <c r="F52">
        <f t="shared" si="0"/>
        <v>1</v>
      </c>
    </row>
    <row r="53" spans="1:6" x14ac:dyDescent="0.2">
      <c r="A53" t="s">
        <v>42</v>
      </c>
      <c r="B53" t="s">
        <v>43</v>
      </c>
      <c r="C53" s="1">
        <f>Activity_Counts!F53/(Activity_Counts!F53+Activity_Counts!M53+5)</f>
        <v>0</v>
      </c>
      <c r="D53" s="1">
        <f>Activity_Counts!M53/(Activity_Counts!F53+Activity_Counts!M53+5)</f>
        <v>0.82758620689655171</v>
      </c>
      <c r="E53">
        <f>5/(Activity_Counts!F53+Activity_Counts!M53+5)</f>
        <v>0.17241379310344829</v>
      </c>
      <c r="F53">
        <f t="shared" si="0"/>
        <v>1</v>
      </c>
    </row>
    <row r="54" spans="1:6" x14ac:dyDescent="0.2">
      <c r="A54" t="s">
        <v>42</v>
      </c>
      <c r="B54" t="s">
        <v>44</v>
      </c>
      <c r="C54" s="1">
        <f>Activity_Counts!F54/(Activity_Counts!F54+Activity_Counts!M54+5)</f>
        <v>0</v>
      </c>
      <c r="D54" s="1">
        <f>Activity_Counts!M54/(Activity_Counts!F54+Activity_Counts!M54+5)</f>
        <v>0.82758620689655171</v>
      </c>
      <c r="E54">
        <f>5/(Activity_Counts!F54+Activity_Counts!M54+5)</f>
        <v>0.17241379310344829</v>
      </c>
      <c r="F54">
        <f t="shared" si="0"/>
        <v>1</v>
      </c>
    </row>
    <row r="55" spans="1:6" x14ac:dyDescent="0.2">
      <c r="A55" t="s">
        <v>46</v>
      </c>
      <c r="B55" t="s">
        <v>30</v>
      </c>
      <c r="C55" s="1">
        <f>Activity_Counts!F55/(Activity_Counts!F55+Activity_Counts!M55+5)</f>
        <v>0</v>
      </c>
      <c r="D55" s="1">
        <f>Activity_Counts!M55/(Activity_Counts!F55+Activity_Counts!M55+5)</f>
        <v>0</v>
      </c>
      <c r="E55">
        <f>5/(Activity_Counts!F55+Activity_Counts!M55+5)</f>
        <v>1</v>
      </c>
      <c r="F55">
        <f t="shared" si="0"/>
        <v>1</v>
      </c>
    </row>
    <row r="56" spans="1:6" x14ac:dyDescent="0.2">
      <c r="A56" t="s">
        <v>47</v>
      </c>
      <c r="B56" t="s">
        <v>30</v>
      </c>
      <c r="C56" s="1">
        <f>Activity_Counts!F56/(Activity_Counts!F56+Activity_Counts!M56+5)</f>
        <v>0</v>
      </c>
      <c r="D56" s="1">
        <f>Activity_Counts!M56/(Activity_Counts!F56+Activity_Counts!M56+5)</f>
        <v>0</v>
      </c>
      <c r="E56">
        <f>5/(Activity_Counts!F56+Activity_Counts!M56+5)</f>
        <v>1</v>
      </c>
      <c r="F56">
        <f t="shared" si="0"/>
        <v>1</v>
      </c>
    </row>
    <row r="57" spans="1:6" x14ac:dyDescent="0.2">
      <c r="A57" t="s">
        <v>48</v>
      </c>
      <c r="B57" t="s">
        <v>31</v>
      </c>
      <c r="C57" s="1">
        <f>Activity_Counts!F57/(Activity_Counts!F57+Activity_Counts!M57+5)</f>
        <v>0</v>
      </c>
      <c r="D57" s="1">
        <f>Activity_Counts!M57/(Activity_Counts!F57+Activity_Counts!M57+5)</f>
        <v>0</v>
      </c>
      <c r="E57">
        <f>5/(Activity_Counts!F57+Activity_Counts!M57+5)</f>
        <v>1</v>
      </c>
      <c r="F57">
        <f t="shared" si="0"/>
        <v>1</v>
      </c>
    </row>
    <row r="58" spans="1:6" x14ac:dyDescent="0.2">
      <c r="A58" t="s">
        <v>48</v>
      </c>
      <c r="B58" t="s">
        <v>30</v>
      </c>
      <c r="C58" s="1">
        <f>Activity_Counts!F58/(Activity_Counts!F58+Activity_Counts!M58+5)</f>
        <v>0</v>
      </c>
      <c r="D58" s="1">
        <f>Activity_Counts!M58/(Activity_Counts!F58+Activity_Counts!M58+5)</f>
        <v>0</v>
      </c>
      <c r="E58">
        <f>5/(Activity_Counts!F58+Activity_Counts!M58+5)</f>
        <v>1</v>
      </c>
      <c r="F58">
        <f t="shared" si="0"/>
        <v>1</v>
      </c>
    </row>
    <row r="59" spans="1:6" x14ac:dyDescent="0.2">
      <c r="A59" t="s">
        <v>49</v>
      </c>
      <c r="B59" t="s">
        <v>20</v>
      </c>
      <c r="C59" s="1">
        <f>Activity_Counts!F59/(Activity_Counts!F59+Activity_Counts!M59+5)</f>
        <v>0</v>
      </c>
      <c r="D59" s="1">
        <f>Activity_Counts!M59/(Activity_Counts!F59+Activity_Counts!M59+5)</f>
        <v>0</v>
      </c>
      <c r="E59">
        <f>5/(Activity_Counts!F59+Activity_Counts!M59+5)</f>
        <v>1</v>
      </c>
      <c r="F59">
        <f t="shared" si="0"/>
        <v>1</v>
      </c>
    </row>
    <row r="60" spans="1:6" x14ac:dyDescent="0.2">
      <c r="A60" t="s">
        <v>49</v>
      </c>
      <c r="B60" t="s">
        <v>21</v>
      </c>
      <c r="C60" s="1">
        <f>Activity_Counts!F60/(Activity_Counts!F60+Activity_Counts!M60+5)</f>
        <v>0</v>
      </c>
      <c r="D60" s="1">
        <f>Activity_Counts!M60/(Activity_Counts!F60+Activity_Counts!M60+5)</f>
        <v>0</v>
      </c>
      <c r="E60">
        <f>5/(Activity_Counts!F60+Activity_Counts!M60+5)</f>
        <v>1</v>
      </c>
      <c r="F60">
        <f t="shared" si="0"/>
        <v>1</v>
      </c>
    </row>
    <row r="61" spans="1:6" x14ac:dyDescent="0.2">
      <c r="A61" t="s">
        <v>50</v>
      </c>
      <c r="B61" t="s">
        <v>31</v>
      </c>
      <c r="C61" s="1">
        <f>Activity_Counts!F61/(Activity_Counts!F61+Activity_Counts!M61+5)</f>
        <v>0</v>
      </c>
      <c r="D61" s="1">
        <f>Activity_Counts!M61/(Activity_Counts!F61+Activity_Counts!M61+5)</f>
        <v>0</v>
      </c>
      <c r="E61">
        <f>5/(Activity_Counts!F61+Activity_Counts!M61+5)</f>
        <v>1</v>
      </c>
      <c r="F61">
        <f t="shared" si="0"/>
        <v>1</v>
      </c>
    </row>
    <row r="62" spans="1:6" x14ac:dyDescent="0.2">
      <c r="A62" t="s">
        <v>50</v>
      </c>
      <c r="B62" t="s">
        <v>30</v>
      </c>
      <c r="C62" s="1">
        <f>Activity_Counts!F62/(Activity_Counts!F62+Activity_Counts!M62+5)</f>
        <v>0</v>
      </c>
      <c r="D62" s="1">
        <f>Activity_Counts!M62/(Activity_Counts!F62+Activity_Counts!M62+5)</f>
        <v>0</v>
      </c>
      <c r="E62">
        <f>5/(Activity_Counts!F62+Activity_Counts!M62+5)</f>
        <v>1</v>
      </c>
      <c r="F62">
        <f t="shared" si="0"/>
        <v>1</v>
      </c>
    </row>
    <row r="63" spans="1:6" x14ac:dyDescent="0.2">
      <c r="A63" t="s">
        <v>59</v>
      </c>
      <c r="B63" t="s">
        <v>60</v>
      </c>
      <c r="C63" s="1">
        <f>Activity_Counts!F63/(Activity_Counts!F63+Activity_Counts!M63+5)</f>
        <v>0</v>
      </c>
      <c r="D63" s="1">
        <f>Activity_Counts!M63/(Activity_Counts!F63+Activity_Counts!M63+5)</f>
        <v>0</v>
      </c>
      <c r="E63">
        <f>5/(Activity_Counts!F63+Activity_Counts!M63+5)</f>
        <v>1</v>
      </c>
      <c r="F63">
        <f t="shared" si="0"/>
        <v>1</v>
      </c>
    </row>
    <row r="64" spans="1:6" x14ac:dyDescent="0.2">
      <c r="A64" t="s">
        <v>59</v>
      </c>
      <c r="B64" t="s">
        <v>61</v>
      </c>
      <c r="C64" s="1">
        <f>Activity_Counts!F64/(Activity_Counts!F64+Activity_Counts!M64+5)</f>
        <v>0</v>
      </c>
      <c r="D64" s="1">
        <f>Activity_Counts!M64/(Activity_Counts!F64+Activity_Counts!M64+5)</f>
        <v>0</v>
      </c>
      <c r="E64">
        <f>5/(Activity_Counts!F64+Activity_Counts!M64+5)</f>
        <v>1</v>
      </c>
      <c r="F64">
        <f t="shared" ref="F64:F67" si="1">SUM(C64:E64)</f>
        <v>1</v>
      </c>
    </row>
    <row r="65" spans="1:6" x14ac:dyDescent="0.2">
      <c r="A65" t="s">
        <v>59</v>
      </c>
      <c r="B65" t="s">
        <v>62</v>
      </c>
      <c r="C65" s="1">
        <f>Activity_Counts!F65/(Activity_Counts!F65+Activity_Counts!M65+5)</f>
        <v>0</v>
      </c>
      <c r="D65" s="1">
        <f>Activity_Counts!M65/(Activity_Counts!F65+Activity_Counts!M65+5)</f>
        <v>0</v>
      </c>
      <c r="E65">
        <f>5/(Activity_Counts!F65+Activity_Counts!M65+5)</f>
        <v>1</v>
      </c>
      <c r="F65">
        <f t="shared" si="1"/>
        <v>1</v>
      </c>
    </row>
    <row r="66" spans="1:6" x14ac:dyDescent="0.2">
      <c r="A66" t="s">
        <v>59</v>
      </c>
      <c r="B66" t="s">
        <v>63</v>
      </c>
      <c r="C66" s="1">
        <f>Activity_Counts!F66/(Activity_Counts!F66+Activity_Counts!M66+5)</f>
        <v>0</v>
      </c>
      <c r="D66" s="1">
        <f>Activity_Counts!M66/(Activity_Counts!F66+Activity_Counts!M66+5)</f>
        <v>0</v>
      </c>
      <c r="E66">
        <f>5/(Activity_Counts!F66+Activity_Counts!M66+5)</f>
        <v>1</v>
      </c>
      <c r="F66">
        <f t="shared" si="1"/>
        <v>1</v>
      </c>
    </row>
    <row r="67" spans="1:6" x14ac:dyDescent="0.2">
      <c r="A67" t="s">
        <v>59</v>
      </c>
      <c r="B67" t="s">
        <v>64</v>
      </c>
      <c r="C67" s="1">
        <f>Activity_Counts!F67/(Activity_Counts!F67+Activity_Counts!M67+5)</f>
        <v>0</v>
      </c>
      <c r="D67" s="1">
        <f>Activity_Counts!M67/(Activity_Counts!F67+Activity_Counts!M67+5)</f>
        <v>0</v>
      </c>
      <c r="E67">
        <f>5/(Activity_Counts!F67+Activity_Counts!M67+5)</f>
        <v>1</v>
      </c>
      <c r="F67">
        <f t="shared" si="1"/>
        <v>1</v>
      </c>
    </row>
    <row r="68" spans="1:6" x14ac:dyDescent="0.2">
      <c r="C68" s="1"/>
      <c r="D68" s="1"/>
    </row>
    <row r="69" spans="1:6" x14ac:dyDescent="0.2">
      <c r="C69" s="1"/>
      <c r="D69" s="1"/>
    </row>
    <row r="70" spans="1:6" x14ac:dyDescent="0.2">
      <c r="C70" s="1"/>
      <c r="D70" s="1"/>
    </row>
    <row r="71" spans="1:6" x14ac:dyDescent="0.2">
      <c r="C71" s="1"/>
      <c r="D71" s="1"/>
    </row>
    <row r="72" spans="1:6" x14ac:dyDescent="0.2">
      <c r="C72" s="1"/>
      <c r="D72" s="1"/>
    </row>
    <row r="73" spans="1:6" x14ac:dyDescent="0.2">
      <c r="C73" s="1"/>
      <c r="D73" s="1"/>
    </row>
    <row r="74" spans="1:6" x14ac:dyDescent="0.2">
      <c r="C74" s="1"/>
      <c r="D74" s="1"/>
    </row>
    <row r="75" spans="1:6" x14ac:dyDescent="0.2">
      <c r="C75" s="1"/>
      <c r="D75" s="1"/>
    </row>
    <row r="76" spans="1:6" x14ac:dyDescent="0.2">
      <c r="C76" s="1"/>
      <c r="D76" s="1"/>
    </row>
    <row r="77" spans="1:6" x14ac:dyDescent="0.2">
      <c r="C77" s="1"/>
      <c r="D77" s="1"/>
    </row>
    <row r="78" spans="1:6" x14ac:dyDescent="0.2">
      <c r="C78" s="1"/>
      <c r="D78" s="1"/>
    </row>
    <row r="79" spans="1:6" x14ac:dyDescent="0.2">
      <c r="C79" s="1"/>
      <c r="D79" s="1"/>
    </row>
    <row r="80" spans="1:6" x14ac:dyDescent="0.2">
      <c r="C80" s="1"/>
      <c r="D80" s="1"/>
    </row>
    <row r="81" spans="3:4" x14ac:dyDescent="0.2">
      <c r="C81" s="1"/>
      <c r="D81" s="1"/>
    </row>
    <row r="82" spans="3:4" x14ac:dyDescent="0.2">
      <c r="C82" s="1"/>
      <c r="D82" s="1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0175-F31B-534A-A963-4023293E7C1C}">
  <dimension ref="A1:I82"/>
  <sheetViews>
    <sheetView zoomScale="160" zoomScaleNormal="260" workbookViewId="0">
      <selection activeCell="A8" sqref="A8:XFD8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3.1640625" bestFit="1" customWidth="1"/>
    <col min="8" max="8" width="15.5" bestFit="1" customWidth="1"/>
    <col min="9" max="9" width="18.1640625" bestFit="1" customWidth="1"/>
    <col min="10" max="10" width="20.1640625" bestFit="1" customWidth="1"/>
  </cols>
  <sheetData>
    <row r="1" spans="1:9" ht="17" x14ac:dyDescent="0.25">
      <c r="A1" t="s">
        <v>0</v>
      </c>
      <c r="B1" t="s">
        <v>1</v>
      </c>
      <c r="C1" s="1" t="s">
        <v>51</v>
      </c>
      <c r="D1" t="s">
        <v>52</v>
      </c>
      <c r="E1" t="s">
        <v>53</v>
      </c>
      <c r="F1" t="s">
        <v>7</v>
      </c>
      <c r="I1" s="2"/>
    </row>
    <row r="2" spans="1:9" x14ac:dyDescent="0.2">
      <c r="A2" t="s">
        <v>13</v>
      </c>
      <c r="B2" t="s">
        <v>45</v>
      </c>
      <c r="C2" s="1">
        <f>Activity_Counts!E2/(Activity_Counts!E2+Activity_Counts!L2+5)</f>
        <v>0.72727272727272729</v>
      </c>
      <c r="D2" s="1">
        <f>Activity_Counts!L2/(Activity_Counts!E2+Activity_Counts!L2+5)</f>
        <v>0.12121212121212122</v>
      </c>
      <c r="E2">
        <f>5/(Activity_Counts!E2+Activity_Counts!L2+5)</f>
        <v>0.15151515151515152</v>
      </c>
      <c r="F2">
        <f t="shared" ref="F2:F63" si="0">SUM(C2:E2)</f>
        <v>1</v>
      </c>
    </row>
    <row r="3" spans="1:9" x14ac:dyDescent="0.2">
      <c r="A3" s="1" t="s">
        <v>14</v>
      </c>
      <c r="B3" s="1" t="s">
        <v>54</v>
      </c>
      <c r="C3" s="1">
        <f>Activity_Counts!E3/(Activity_Counts!E3+Activity_Counts!L3+5)</f>
        <v>0.2857142857142857</v>
      </c>
      <c r="D3" s="1">
        <f>Activity_Counts!L3/(Activity_Counts!E3+Activity_Counts!L3+5)</f>
        <v>0.35714285714285715</v>
      </c>
      <c r="E3">
        <f>5/(Activity_Counts!E3+Activity_Counts!L3+5)</f>
        <v>0.35714285714285715</v>
      </c>
      <c r="F3">
        <f t="shared" si="0"/>
        <v>1</v>
      </c>
    </row>
    <row r="4" spans="1:9" x14ac:dyDescent="0.2">
      <c r="A4" s="1" t="s">
        <v>14</v>
      </c>
      <c r="B4" s="1" t="s">
        <v>55</v>
      </c>
      <c r="C4" s="1">
        <f>Activity_Counts!E4/(Activity_Counts!E4+Activity_Counts!L4+5)</f>
        <v>0.27272727272727271</v>
      </c>
      <c r="D4" s="1">
        <f>Activity_Counts!L4/(Activity_Counts!E4+Activity_Counts!L4+5)</f>
        <v>0.5</v>
      </c>
      <c r="E4">
        <f>5/(Activity_Counts!E4+Activity_Counts!L4+5)</f>
        <v>0.22727272727272727</v>
      </c>
      <c r="F4">
        <f t="shared" si="0"/>
        <v>1</v>
      </c>
    </row>
    <row r="5" spans="1:9" x14ac:dyDescent="0.2">
      <c r="A5" s="1" t="s">
        <v>14</v>
      </c>
      <c r="B5" s="1" t="s">
        <v>56</v>
      </c>
      <c r="C5" s="1">
        <f>Activity_Counts!E5/(Activity_Counts!E5+Activity_Counts!L5+5)</f>
        <v>8.6956521739130432E-2</v>
      </c>
      <c r="D5" s="1">
        <f>Activity_Counts!L5/(Activity_Counts!E5+Activity_Counts!L5+5)</f>
        <v>0.69565217391304346</v>
      </c>
      <c r="E5">
        <f>5/(Activity_Counts!E5+Activity_Counts!L5+5)</f>
        <v>0.21739130434782608</v>
      </c>
      <c r="F5">
        <f t="shared" si="0"/>
        <v>0.99999999999999989</v>
      </c>
    </row>
    <row r="6" spans="1:9" x14ac:dyDescent="0.2">
      <c r="A6" s="1" t="s">
        <v>14</v>
      </c>
      <c r="B6" s="1" t="s">
        <v>57</v>
      </c>
      <c r="C6" s="1">
        <f>Activity_Counts!E6/(Activity_Counts!E6+Activity_Counts!L6+5)</f>
        <v>0.16666666666666666</v>
      </c>
      <c r="D6" s="1">
        <f>Activity_Counts!L6/(Activity_Counts!E6+Activity_Counts!L6+5)</f>
        <v>0</v>
      </c>
      <c r="E6">
        <f>5/(Activity_Counts!E6+Activity_Counts!L6+5)</f>
        <v>0.83333333333333337</v>
      </c>
      <c r="F6">
        <f t="shared" si="0"/>
        <v>1</v>
      </c>
    </row>
    <row r="7" spans="1:9" x14ac:dyDescent="0.2">
      <c r="A7" s="1" t="s">
        <v>14</v>
      </c>
      <c r="B7" s="1" t="s">
        <v>58</v>
      </c>
      <c r="C7" s="1">
        <f>Activity_Counts!E7/(Activity_Counts!E7+Activity_Counts!L7+5)</f>
        <v>0.20588235294117646</v>
      </c>
      <c r="D7" s="1">
        <f>Activity_Counts!L7/(Activity_Counts!E7+Activity_Counts!L7+5)</f>
        <v>0.6470588235294118</v>
      </c>
      <c r="E7">
        <f>5/(Activity_Counts!E7+Activity_Counts!L7+5)</f>
        <v>0.14705882352941177</v>
      </c>
      <c r="F7">
        <f t="shared" si="0"/>
        <v>1</v>
      </c>
    </row>
    <row r="8" spans="1:9" x14ac:dyDescent="0.2">
      <c r="A8" t="s">
        <v>15</v>
      </c>
      <c r="B8" t="s">
        <v>54</v>
      </c>
      <c r="C8" s="1">
        <f>Activity_Counts!E8/(Activity_Counts!E8+Activity_Counts!L8+5)</f>
        <v>0.23076923076923078</v>
      </c>
      <c r="D8" s="1">
        <f>Activity_Counts!L8/(Activity_Counts!E8+Activity_Counts!L8+5)</f>
        <v>0.38461538461538464</v>
      </c>
      <c r="E8">
        <f>5/(Activity_Counts!E8+Activity_Counts!L8+5)</f>
        <v>0.38461538461538464</v>
      </c>
      <c r="F8">
        <f t="shared" si="0"/>
        <v>1</v>
      </c>
    </row>
    <row r="9" spans="1:9" x14ac:dyDescent="0.2">
      <c r="A9" t="s">
        <v>15</v>
      </c>
      <c r="B9" t="s">
        <v>55</v>
      </c>
      <c r="C9" s="1">
        <f>Activity_Counts!E9/(Activity_Counts!E9+Activity_Counts!L9+5)</f>
        <v>0.16129032258064516</v>
      </c>
      <c r="D9" s="1">
        <f>Activity_Counts!L9/(Activity_Counts!E9+Activity_Counts!L9+5)</f>
        <v>0.67741935483870963</v>
      </c>
      <c r="E9">
        <f>5/(Activity_Counts!E9+Activity_Counts!L9+5)</f>
        <v>0.16129032258064516</v>
      </c>
      <c r="F9">
        <f t="shared" si="0"/>
        <v>0.99999999999999989</v>
      </c>
    </row>
    <row r="10" spans="1:9" x14ac:dyDescent="0.2">
      <c r="A10" t="s">
        <v>15</v>
      </c>
      <c r="B10" t="s">
        <v>56</v>
      </c>
      <c r="C10" s="1">
        <f>Activity_Counts!E10/(Activity_Counts!E10+Activity_Counts!L10+5)</f>
        <v>0</v>
      </c>
      <c r="D10" s="1">
        <f>Activity_Counts!L10/(Activity_Counts!E10+Activity_Counts!L10+5)</f>
        <v>0.5</v>
      </c>
      <c r="E10">
        <f>5/(Activity_Counts!E10+Activity_Counts!L10+5)</f>
        <v>0.5</v>
      </c>
      <c r="F10">
        <f t="shared" si="0"/>
        <v>1</v>
      </c>
    </row>
    <row r="11" spans="1:9" x14ac:dyDescent="0.2">
      <c r="A11" t="s">
        <v>15</v>
      </c>
      <c r="B11" t="s">
        <v>57</v>
      </c>
      <c r="C11" s="1">
        <f>Activity_Counts!E11/(Activity_Counts!E11+Activity_Counts!L11+5)</f>
        <v>0</v>
      </c>
      <c r="D11" s="1">
        <f>Activity_Counts!L11/(Activity_Counts!E11+Activity_Counts!L11+5)</f>
        <v>0.2857142857142857</v>
      </c>
      <c r="E11">
        <f>5/(Activity_Counts!E11+Activity_Counts!L11+5)</f>
        <v>0.7142857142857143</v>
      </c>
      <c r="F11">
        <f t="shared" si="0"/>
        <v>1</v>
      </c>
    </row>
    <row r="12" spans="1:9" x14ac:dyDescent="0.2">
      <c r="A12" t="s">
        <v>15</v>
      </c>
      <c r="B12" t="s">
        <v>58</v>
      </c>
      <c r="C12" s="1">
        <f>Activity_Counts!E12/(Activity_Counts!E12+Activity_Counts!L12+5)</f>
        <v>0.14285714285714285</v>
      </c>
      <c r="D12" s="1">
        <f>Activity_Counts!L12/(Activity_Counts!E12+Activity_Counts!L12+5)</f>
        <v>0.5</v>
      </c>
      <c r="E12">
        <f>5/(Activity_Counts!E12+Activity_Counts!L12+5)</f>
        <v>0.35714285714285715</v>
      </c>
      <c r="F12">
        <f t="shared" si="0"/>
        <v>1</v>
      </c>
    </row>
    <row r="13" spans="1:9" x14ac:dyDescent="0.2">
      <c r="A13" t="s">
        <v>16</v>
      </c>
      <c r="B13" t="s">
        <v>17</v>
      </c>
      <c r="C13" s="1">
        <f>Activity_Counts!E13/(Activity_Counts!E13+Activity_Counts!L13+5)</f>
        <v>0.29333333333333333</v>
      </c>
      <c r="D13" s="1">
        <f>Activity_Counts!L13/(Activity_Counts!E13+Activity_Counts!L13+5)</f>
        <v>0.64</v>
      </c>
      <c r="E13">
        <f>5/(Activity_Counts!E13+Activity_Counts!L13+5)</f>
        <v>6.6666666666666666E-2</v>
      </c>
      <c r="F13">
        <f t="shared" si="0"/>
        <v>1</v>
      </c>
    </row>
    <row r="14" spans="1:9" x14ac:dyDescent="0.2">
      <c r="A14" t="s">
        <v>16</v>
      </c>
      <c r="B14" t="s">
        <v>18</v>
      </c>
      <c r="C14" s="1">
        <f>Activity_Counts!E14/(Activity_Counts!E14+Activity_Counts!L14+5)</f>
        <v>0.32</v>
      </c>
      <c r="D14" s="1">
        <f>Activity_Counts!L14/(Activity_Counts!E14+Activity_Counts!L14+5)</f>
        <v>0.61333333333333329</v>
      </c>
      <c r="E14">
        <f>5/(Activity_Counts!E14+Activity_Counts!L14+5)</f>
        <v>6.6666666666666666E-2</v>
      </c>
      <c r="F14">
        <f t="shared" si="0"/>
        <v>1</v>
      </c>
    </row>
    <row r="15" spans="1:9" x14ac:dyDescent="0.2">
      <c r="A15" t="s">
        <v>19</v>
      </c>
      <c r="B15" t="s">
        <v>20</v>
      </c>
      <c r="C15" s="1">
        <f>Activity_Counts!E15/(Activity_Counts!E15+Activity_Counts!L15+5)</f>
        <v>0.75</v>
      </c>
      <c r="D15" s="1">
        <f>Activity_Counts!L15/(Activity_Counts!E15+Activity_Counts!L15+5)</f>
        <v>9.375E-2</v>
      </c>
      <c r="E15">
        <f>5/(Activity_Counts!E15+Activity_Counts!L15+5)</f>
        <v>0.15625</v>
      </c>
      <c r="F15">
        <f t="shared" si="0"/>
        <v>1</v>
      </c>
    </row>
    <row r="16" spans="1:9" x14ac:dyDescent="0.2">
      <c r="A16" t="s">
        <v>19</v>
      </c>
      <c r="B16" t="s">
        <v>21</v>
      </c>
      <c r="C16" s="1">
        <f>Activity_Counts!E16/(Activity_Counts!E16+Activity_Counts!L16+5)</f>
        <v>0.30769230769230771</v>
      </c>
      <c r="D16" s="1">
        <f>Activity_Counts!L16/(Activity_Counts!E16+Activity_Counts!L16+5)</f>
        <v>0.5</v>
      </c>
      <c r="E16">
        <f>5/(Activity_Counts!E16+Activity_Counts!L16+5)</f>
        <v>0.19230769230769232</v>
      </c>
      <c r="F16">
        <f t="shared" si="0"/>
        <v>1</v>
      </c>
    </row>
    <row r="17" spans="1:6" x14ac:dyDescent="0.2">
      <c r="A17" t="s">
        <v>22</v>
      </c>
      <c r="B17" t="s">
        <v>20</v>
      </c>
      <c r="C17" s="1">
        <f>Activity_Counts!E17/(Activity_Counts!E17+Activity_Counts!L17+5)</f>
        <v>0.7931034482758621</v>
      </c>
      <c r="D17" s="1">
        <f>Activity_Counts!L17/(Activity_Counts!E17+Activity_Counts!L17+5)</f>
        <v>3.4482758620689655E-2</v>
      </c>
      <c r="E17">
        <f>5/(Activity_Counts!E17+Activity_Counts!L17+5)</f>
        <v>0.17241379310344829</v>
      </c>
      <c r="F17">
        <f t="shared" si="0"/>
        <v>1</v>
      </c>
    </row>
    <row r="18" spans="1:6" x14ac:dyDescent="0.2">
      <c r="A18" t="s">
        <v>22</v>
      </c>
      <c r="B18" t="s">
        <v>21</v>
      </c>
      <c r="C18" s="1">
        <f>Activity_Counts!E18/(Activity_Counts!E18+Activity_Counts!L18+5)</f>
        <v>0.45</v>
      </c>
      <c r="D18" s="1">
        <f>Activity_Counts!L18/(Activity_Counts!E18+Activity_Counts!L18+5)</f>
        <v>0.3</v>
      </c>
      <c r="E18">
        <f>5/(Activity_Counts!E18+Activity_Counts!L18+5)</f>
        <v>0.25</v>
      </c>
      <c r="F18">
        <f t="shared" si="0"/>
        <v>1</v>
      </c>
    </row>
    <row r="19" spans="1:6" x14ac:dyDescent="0.2">
      <c r="A19" t="s">
        <v>23</v>
      </c>
      <c r="B19" t="s">
        <v>20</v>
      </c>
      <c r="C19" s="1">
        <f>Activity_Counts!E19/(Activity_Counts!E19+Activity_Counts!L19+5)</f>
        <v>0.6</v>
      </c>
      <c r="D19" s="1">
        <f>Activity_Counts!L19/(Activity_Counts!E19+Activity_Counts!L19+5)</f>
        <v>0.27500000000000002</v>
      </c>
      <c r="E19">
        <f>5/(Activity_Counts!E19+Activity_Counts!L19+5)</f>
        <v>0.125</v>
      </c>
      <c r="F19">
        <f t="shared" si="0"/>
        <v>1</v>
      </c>
    </row>
    <row r="20" spans="1:6" x14ac:dyDescent="0.2">
      <c r="A20" t="s">
        <v>23</v>
      </c>
      <c r="B20" t="s">
        <v>21</v>
      </c>
      <c r="C20" s="1">
        <f>Activity_Counts!E20/(Activity_Counts!E20+Activity_Counts!L20+5)</f>
        <v>0.55000000000000004</v>
      </c>
      <c r="D20" s="1">
        <f>Activity_Counts!L20/(Activity_Counts!E20+Activity_Counts!L20+5)</f>
        <v>0.2</v>
      </c>
      <c r="E20">
        <f>5/(Activity_Counts!E20+Activity_Counts!L20+5)</f>
        <v>0.25</v>
      </c>
      <c r="F20">
        <f t="shared" si="0"/>
        <v>1</v>
      </c>
    </row>
    <row r="21" spans="1:6" x14ac:dyDescent="0.2">
      <c r="A21" t="s">
        <v>24</v>
      </c>
      <c r="B21" t="s">
        <v>20</v>
      </c>
      <c r="C21" s="1">
        <f>Activity_Counts!E21/(Activity_Counts!E21+Activity_Counts!L21+5)</f>
        <v>0.77419354838709675</v>
      </c>
      <c r="D21" s="1">
        <f>Activity_Counts!L21/(Activity_Counts!E21+Activity_Counts!L21+5)</f>
        <v>6.4516129032258063E-2</v>
      </c>
      <c r="E21">
        <f>5/(Activity_Counts!E21+Activity_Counts!L21+5)</f>
        <v>0.16129032258064516</v>
      </c>
      <c r="F21">
        <f t="shared" si="0"/>
        <v>0.99999999999999989</v>
      </c>
    </row>
    <row r="22" spans="1:6" x14ac:dyDescent="0.2">
      <c r="A22" t="s">
        <v>24</v>
      </c>
      <c r="B22" t="s">
        <v>21</v>
      </c>
      <c r="C22" s="1">
        <f>Activity_Counts!E22/(Activity_Counts!E22+Activity_Counts!L22+5)</f>
        <v>0.2</v>
      </c>
      <c r="D22" s="1">
        <f>Activity_Counts!L22/(Activity_Counts!E22+Activity_Counts!L22+5)</f>
        <v>0.46666666666666667</v>
      </c>
      <c r="E22">
        <f>5/(Activity_Counts!E22+Activity_Counts!L22+5)</f>
        <v>0.33333333333333331</v>
      </c>
      <c r="F22">
        <f t="shared" si="0"/>
        <v>1</v>
      </c>
    </row>
    <row r="23" spans="1:6" x14ac:dyDescent="0.2">
      <c r="A23" t="s">
        <v>25</v>
      </c>
      <c r="B23" t="s">
        <v>20</v>
      </c>
      <c r="C23" s="1">
        <f>Activity_Counts!E23/(Activity_Counts!E23+Activity_Counts!L23+5)</f>
        <v>0.74193548387096775</v>
      </c>
      <c r="D23" s="1">
        <f>Activity_Counts!L23/(Activity_Counts!E23+Activity_Counts!L23+5)</f>
        <v>9.6774193548387094E-2</v>
      </c>
      <c r="E23">
        <f>5/(Activity_Counts!E23+Activity_Counts!L23+5)</f>
        <v>0.16129032258064516</v>
      </c>
      <c r="F23">
        <f t="shared" si="0"/>
        <v>1</v>
      </c>
    </row>
    <row r="24" spans="1:6" x14ac:dyDescent="0.2">
      <c r="A24" t="s">
        <v>25</v>
      </c>
      <c r="B24" t="s">
        <v>21</v>
      </c>
      <c r="C24" s="1">
        <f>Activity_Counts!E24/(Activity_Counts!E24+Activity_Counts!L24+5)</f>
        <v>0.35294117647058826</v>
      </c>
      <c r="D24" s="1">
        <f>Activity_Counts!L24/(Activity_Counts!E24+Activity_Counts!L24+5)</f>
        <v>0.35294117647058826</v>
      </c>
      <c r="E24">
        <f>5/(Activity_Counts!E24+Activity_Counts!L24+5)</f>
        <v>0.29411764705882354</v>
      </c>
      <c r="F24">
        <f t="shared" si="0"/>
        <v>1</v>
      </c>
    </row>
    <row r="25" spans="1:6" x14ac:dyDescent="0.2">
      <c r="A25" t="s">
        <v>26</v>
      </c>
      <c r="B25" t="s">
        <v>20</v>
      </c>
      <c r="C25" s="1">
        <f>Activity_Counts!E25/(Activity_Counts!E25+Activity_Counts!L25+5)</f>
        <v>0</v>
      </c>
      <c r="D25" s="1">
        <f>Activity_Counts!L25/(Activity_Counts!E25+Activity_Counts!L25+5)</f>
        <v>0.83333333333333337</v>
      </c>
      <c r="E25">
        <f>5/(Activity_Counts!E25+Activity_Counts!L25+5)</f>
        <v>0.16666666666666666</v>
      </c>
      <c r="F25">
        <f t="shared" si="0"/>
        <v>1</v>
      </c>
    </row>
    <row r="26" spans="1:6" x14ac:dyDescent="0.2">
      <c r="A26" t="s">
        <v>26</v>
      </c>
      <c r="B26" t="s">
        <v>21</v>
      </c>
      <c r="C26" s="1">
        <f>Activity_Counts!E26/(Activity_Counts!E26+Activity_Counts!L26+5)</f>
        <v>0</v>
      </c>
      <c r="D26" s="1">
        <f>Activity_Counts!L26/(Activity_Counts!E26+Activity_Counts!L26+5)</f>
        <v>0.82758620689655171</v>
      </c>
      <c r="E26">
        <f>5/(Activity_Counts!E26+Activity_Counts!L26+5)</f>
        <v>0.17241379310344829</v>
      </c>
      <c r="F26">
        <f t="shared" si="0"/>
        <v>1</v>
      </c>
    </row>
    <row r="27" spans="1:6" x14ac:dyDescent="0.2">
      <c r="A27" t="s">
        <v>27</v>
      </c>
      <c r="B27" t="s">
        <v>20</v>
      </c>
      <c r="C27" s="1">
        <f>Activity_Counts!E27/(Activity_Counts!E27+Activity_Counts!L27+5)</f>
        <v>0.76666666666666672</v>
      </c>
      <c r="D27" s="1">
        <f>Activity_Counts!L27/(Activity_Counts!E27+Activity_Counts!L27+5)</f>
        <v>6.6666666666666666E-2</v>
      </c>
      <c r="E27">
        <f>5/(Activity_Counts!E27+Activity_Counts!L27+5)</f>
        <v>0.16666666666666666</v>
      </c>
      <c r="F27">
        <f t="shared" si="0"/>
        <v>1</v>
      </c>
    </row>
    <row r="28" spans="1:6" x14ac:dyDescent="0.2">
      <c r="A28" t="s">
        <v>27</v>
      </c>
      <c r="B28" t="s">
        <v>21</v>
      </c>
      <c r="C28" s="1">
        <f>Activity_Counts!E28/(Activity_Counts!E28+Activity_Counts!L28+5)</f>
        <v>0.125</v>
      </c>
      <c r="D28" s="1">
        <f>Activity_Counts!L28/(Activity_Counts!E28+Activity_Counts!L28+5)</f>
        <v>0.25</v>
      </c>
      <c r="E28">
        <f>5/(Activity_Counts!E28+Activity_Counts!L28+5)</f>
        <v>0.625</v>
      </c>
      <c r="F28">
        <f t="shared" si="0"/>
        <v>1</v>
      </c>
    </row>
    <row r="29" spans="1:6" x14ac:dyDescent="0.2">
      <c r="A29" t="s">
        <v>28</v>
      </c>
      <c r="B29" t="s">
        <v>20</v>
      </c>
      <c r="C29" s="1">
        <f>Activity_Counts!E29/(Activity_Counts!E29+Activity_Counts!L29+5)</f>
        <v>0</v>
      </c>
      <c r="D29" s="1">
        <f>Activity_Counts!L29/(Activity_Counts!E29+Activity_Counts!L29+5)</f>
        <v>0.8214285714285714</v>
      </c>
      <c r="E29">
        <f>5/(Activity_Counts!E29+Activity_Counts!L29+5)</f>
        <v>0.17857142857142858</v>
      </c>
      <c r="F29">
        <f t="shared" si="0"/>
        <v>1</v>
      </c>
    </row>
    <row r="30" spans="1:6" x14ac:dyDescent="0.2">
      <c r="A30" t="s">
        <v>28</v>
      </c>
      <c r="B30" t="s">
        <v>21</v>
      </c>
      <c r="C30" s="1">
        <f>Activity_Counts!E30/(Activity_Counts!E30+Activity_Counts!L30+5)</f>
        <v>0</v>
      </c>
      <c r="D30" s="1">
        <f>Activity_Counts!L30/(Activity_Counts!E30+Activity_Counts!L30+5)</f>
        <v>0.61538461538461542</v>
      </c>
      <c r="E30">
        <f>5/(Activity_Counts!E30+Activity_Counts!L30+5)</f>
        <v>0.38461538461538464</v>
      </c>
      <c r="F30">
        <f t="shared" si="0"/>
        <v>1</v>
      </c>
    </row>
    <row r="31" spans="1:6" x14ac:dyDescent="0.2">
      <c r="A31" t="s">
        <v>29</v>
      </c>
      <c r="B31" t="s">
        <v>30</v>
      </c>
      <c r="C31" s="1">
        <f>Activity_Counts!E31/(Activity_Counts!E31+Activity_Counts!L31+5)</f>
        <v>0</v>
      </c>
      <c r="D31" s="1">
        <f>Activity_Counts!L31/(Activity_Counts!E31+Activity_Counts!L31+5)</f>
        <v>0.82758620689655171</v>
      </c>
      <c r="E31">
        <f>5/(Activity_Counts!E31+Activity_Counts!L31+5)</f>
        <v>0.17241379310344829</v>
      </c>
      <c r="F31">
        <f t="shared" si="0"/>
        <v>1</v>
      </c>
    </row>
    <row r="32" spans="1:6" x14ac:dyDescent="0.2">
      <c r="A32" t="s">
        <v>29</v>
      </c>
      <c r="B32" t="s">
        <v>31</v>
      </c>
      <c r="C32" s="1">
        <f>Activity_Counts!E32/(Activity_Counts!E32+Activity_Counts!L32+5)</f>
        <v>0</v>
      </c>
      <c r="D32" s="1">
        <f>Activity_Counts!L32/(Activity_Counts!E32+Activity_Counts!L32+5)</f>
        <v>0.77272727272727271</v>
      </c>
      <c r="E32">
        <f>5/(Activity_Counts!E32+Activity_Counts!L32+5)</f>
        <v>0.22727272727272727</v>
      </c>
      <c r="F32">
        <f t="shared" si="0"/>
        <v>1</v>
      </c>
    </row>
    <row r="33" spans="1:6" x14ac:dyDescent="0.2">
      <c r="A33" t="s">
        <v>32</v>
      </c>
      <c r="B33" t="s">
        <v>30</v>
      </c>
      <c r="C33" s="1">
        <f>Activity_Counts!E33/(Activity_Counts!E33+Activity_Counts!L33+5)</f>
        <v>0</v>
      </c>
      <c r="D33" s="1">
        <f>Activity_Counts!L33/(Activity_Counts!E33+Activity_Counts!L33+5)</f>
        <v>0.8214285714285714</v>
      </c>
      <c r="E33">
        <f>5/(Activity_Counts!E33+Activity_Counts!L33+5)</f>
        <v>0.17857142857142858</v>
      </c>
      <c r="F33">
        <f t="shared" si="0"/>
        <v>1</v>
      </c>
    </row>
    <row r="34" spans="1:6" x14ac:dyDescent="0.2">
      <c r="A34" t="s">
        <v>32</v>
      </c>
      <c r="B34" t="s">
        <v>31</v>
      </c>
      <c r="C34" s="1">
        <f>Activity_Counts!E34/(Activity_Counts!E34+Activity_Counts!L34+5)</f>
        <v>0</v>
      </c>
      <c r="D34" s="1">
        <f>Activity_Counts!L34/(Activity_Counts!E34+Activity_Counts!L34+5)</f>
        <v>0.8214285714285714</v>
      </c>
      <c r="E34">
        <f>5/(Activity_Counts!E34+Activity_Counts!L34+5)</f>
        <v>0.17857142857142858</v>
      </c>
      <c r="F34">
        <f t="shared" si="0"/>
        <v>1</v>
      </c>
    </row>
    <row r="35" spans="1:6" x14ac:dyDescent="0.2">
      <c r="A35" t="s">
        <v>33</v>
      </c>
      <c r="B35" t="s">
        <v>30</v>
      </c>
      <c r="C35" s="1">
        <f>Activity_Counts!E35/(Activity_Counts!E35+Activity_Counts!L35+5)</f>
        <v>0</v>
      </c>
      <c r="D35" s="1">
        <f>Activity_Counts!L35/(Activity_Counts!E35+Activity_Counts!L35+5)</f>
        <v>0.82758620689655171</v>
      </c>
      <c r="E35">
        <f>5/(Activity_Counts!E35+Activity_Counts!L35+5)</f>
        <v>0.17241379310344829</v>
      </c>
      <c r="F35">
        <f t="shared" si="0"/>
        <v>1</v>
      </c>
    </row>
    <row r="36" spans="1:6" x14ac:dyDescent="0.2">
      <c r="A36" t="s">
        <v>33</v>
      </c>
      <c r="B36" t="s">
        <v>31</v>
      </c>
      <c r="C36" s="1">
        <f>Activity_Counts!E36/(Activity_Counts!E36+Activity_Counts!L36+5)</f>
        <v>0</v>
      </c>
      <c r="D36" s="1">
        <f>Activity_Counts!L36/(Activity_Counts!E36+Activity_Counts!L36+5)</f>
        <v>0.82758620689655171</v>
      </c>
      <c r="E36">
        <f>5/(Activity_Counts!E36+Activity_Counts!L36+5)</f>
        <v>0.17241379310344829</v>
      </c>
      <c r="F36">
        <f t="shared" si="0"/>
        <v>1</v>
      </c>
    </row>
    <row r="37" spans="1:6" x14ac:dyDescent="0.2">
      <c r="A37" t="s">
        <v>34</v>
      </c>
      <c r="B37" t="s">
        <v>30</v>
      </c>
      <c r="C37" s="1">
        <f>Activity_Counts!E37/(Activity_Counts!E37+Activity_Counts!L37+5)</f>
        <v>0</v>
      </c>
      <c r="D37" s="1">
        <f>Activity_Counts!L37/(Activity_Counts!E37+Activity_Counts!L37+5)</f>
        <v>0.79166666666666663</v>
      </c>
      <c r="E37">
        <f>5/(Activity_Counts!E37+Activity_Counts!L37+5)</f>
        <v>0.20833333333333334</v>
      </c>
      <c r="F37">
        <f t="shared" si="0"/>
        <v>1</v>
      </c>
    </row>
    <row r="38" spans="1:6" x14ac:dyDescent="0.2">
      <c r="A38" t="s">
        <v>34</v>
      </c>
      <c r="B38" t="s">
        <v>31</v>
      </c>
      <c r="C38" s="1">
        <f>Activity_Counts!E38/(Activity_Counts!E38+Activity_Counts!L38+5)</f>
        <v>0</v>
      </c>
      <c r="D38" s="1">
        <f>Activity_Counts!L38/(Activity_Counts!E38+Activity_Counts!L38+5)</f>
        <v>0.79166666666666663</v>
      </c>
      <c r="E38">
        <f>5/(Activity_Counts!E38+Activity_Counts!L38+5)</f>
        <v>0.20833333333333334</v>
      </c>
      <c r="F38">
        <f t="shared" si="0"/>
        <v>1</v>
      </c>
    </row>
    <row r="39" spans="1:6" x14ac:dyDescent="0.2">
      <c r="A39" t="s">
        <v>35</v>
      </c>
      <c r="B39" t="s">
        <v>30</v>
      </c>
      <c r="C39" s="1">
        <f>Activity_Counts!E39/(Activity_Counts!E39+Activity_Counts!L39+5)</f>
        <v>1.0309278350515464E-2</v>
      </c>
      <c r="D39" s="1">
        <f>Activity_Counts!L39/(Activity_Counts!E39+Activity_Counts!L39+5)</f>
        <v>0.93814432989690721</v>
      </c>
      <c r="E39">
        <f>5/(Activity_Counts!E39+Activity_Counts!L39+5)</f>
        <v>5.1546391752577317E-2</v>
      </c>
      <c r="F39">
        <f t="shared" si="0"/>
        <v>1</v>
      </c>
    </row>
    <row r="40" spans="1:6" x14ac:dyDescent="0.2">
      <c r="A40" t="s">
        <v>35</v>
      </c>
      <c r="B40" t="s">
        <v>31</v>
      </c>
      <c r="C40" s="1">
        <f>Activity_Counts!E40/(Activity_Counts!E40+Activity_Counts!L40+5)</f>
        <v>1.1764705882352941E-2</v>
      </c>
      <c r="D40" s="1">
        <f>Activity_Counts!L40/(Activity_Counts!E40+Activity_Counts!L40+5)</f>
        <v>0.92941176470588238</v>
      </c>
      <c r="E40">
        <f>5/(Activity_Counts!E40+Activity_Counts!L40+5)</f>
        <v>5.8823529411764705E-2</v>
      </c>
      <c r="F40">
        <f t="shared" si="0"/>
        <v>1</v>
      </c>
    </row>
    <row r="41" spans="1:6" x14ac:dyDescent="0.2">
      <c r="A41" t="s">
        <v>36</v>
      </c>
      <c r="B41" t="s">
        <v>30</v>
      </c>
      <c r="C41" s="1">
        <f>Activity_Counts!E41/(Activity_Counts!E41+Activity_Counts!L41+5)</f>
        <v>9.8039215686274508E-3</v>
      </c>
      <c r="D41" s="1">
        <f>Activity_Counts!L41/(Activity_Counts!E41+Activity_Counts!L41+5)</f>
        <v>0.94117647058823528</v>
      </c>
      <c r="E41">
        <f>5/(Activity_Counts!E41+Activity_Counts!L41+5)</f>
        <v>4.9019607843137254E-2</v>
      </c>
      <c r="F41">
        <f t="shared" si="0"/>
        <v>1</v>
      </c>
    </row>
    <row r="42" spans="1:6" x14ac:dyDescent="0.2">
      <c r="A42" t="s">
        <v>36</v>
      </c>
      <c r="B42" t="s">
        <v>31</v>
      </c>
      <c r="C42" s="1">
        <f>Activity_Counts!E42/(Activity_Counts!E42+Activity_Counts!L42+5)</f>
        <v>1.0526315789473684E-2</v>
      </c>
      <c r="D42" s="1">
        <f>Activity_Counts!L42/(Activity_Counts!E42+Activity_Counts!L42+5)</f>
        <v>0.93684210526315792</v>
      </c>
      <c r="E42">
        <f>5/(Activity_Counts!E42+Activity_Counts!L42+5)</f>
        <v>5.2631578947368418E-2</v>
      </c>
      <c r="F42">
        <f t="shared" si="0"/>
        <v>1</v>
      </c>
    </row>
    <row r="43" spans="1:6" x14ac:dyDescent="0.2">
      <c r="A43" t="s">
        <v>37</v>
      </c>
      <c r="B43" t="s">
        <v>30</v>
      </c>
      <c r="C43" s="1">
        <f>Activity_Counts!E43/(Activity_Counts!E43+Activity_Counts!L43+5)</f>
        <v>1.2500000000000001E-2</v>
      </c>
      <c r="D43" s="1">
        <f>Activity_Counts!L43/(Activity_Counts!E43+Activity_Counts!L43+5)</f>
        <v>0.92500000000000004</v>
      </c>
      <c r="E43">
        <f>5/(Activity_Counts!E43+Activity_Counts!L43+5)</f>
        <v>6.25E-2</v>
      </c>
      <c r="F43">
        <f t="shared" si="0"/>
        <v>1</v>
      </c>
    </row>
    <row r="44" spans="1:6" x14ac:dyDescent="0.2">
      <c r="A44" t="s">
        <v>37</v>
      </c>
      <c r="B44" t="s">
        <v>31</v>
      </c>
      <c r="C44" s="1">
        <f>Activity_Counts!E44/(Activity_Counts!E44+Activity_Counts!L44+5)</f>
        <v>1.2658227848101266E-2</v>
      </c>
      <c r="D44" s="1">
        <f>Activity_Counts!L44/(Activity_Counts!E44+Activity_Counts!L44+5)</f>
        <v>0.92405063291139244</v>
      </c>
      <c r="E44">
        <f>5/(Activity_Counts!E44+Activity_Counts!L44+5)</f>
        <v>6.3291139240506333E-2</v>
      </c>
      <c r="F44">
        <f t="shared" si="0"/>
        <v>1</v>
      </c>
    </row>
    <row r="45" spans="1:6" x14ac:dyDescent="0.2">
      <c r="A45" t="s">
        <v>38</v>
      </c>
      <c r="B45" t="s">
        <v>30</v>
      </c>
      <c r="C45" s="1">
        <f>Activity_Counts!E45/(Activity_Counts!E45+Activity_Counts!L45+5)</f>
        <v>4.8192771084337352E-2</v>
      </c>
      <c r="D45" s="1">
        <f>Activity_Counts!L45/(Activity_Counts!E45+Activity_Counts!L45+5)</f>
        <v>0.89156626506024095</v>
      </c>
      <c r="E45">
        <f>5/(Activity_Counts!E45+Activity_Counts!L45+5)</f>
        <v>6.0240963855421686E-2</v>
      </c>
      <c r="F45">
        <f t="shared" si="0"/>
        <v>1</v>
      </c>
    </row>
    <row r="46" spans="1:6" x14ac:dyDescent="0.2">
      <c r="A46" t="s">
        <v>38</v>
      </c>
      <c r="B46" t="s">
        <v>31</v>
      </c>
      <c r="C46" s="1">
        <f>Activity_Counts!E46/(Activity_Counts!E46+Activity_Counts!L46+5)</f>
        <v>4.8192771084337352E-2</v>
      </c>
      <c r="D46" s="1">
        <f>Activity_Counts!L46/(Activity_Counts!E46+Activity_Counts!L46+5)</f>
        <v>0.89156626506024095</v>
      </c>
      <c r="E46">
        <f>5/(Activity_Counts!E46+Activity_Counts!L46+5)</f>
        <v>6.0240963855421686E-2</v>
      </c>
      <c r="F46">
        <f t="shared" si="0"/>
        <v>1</v>
      </c>
    </row>
    <row r="47" spans="1:6" x14ac:dyDescent="0.2">
      <c r="A47" t="s">
        <v>39</v>
      </c>
      <c r="B47" t="s">
        <v>30</v>
      </c>
      <c r="C47" s="1">
        <f>Activity_Counts!E47/(Activity_Counts!E47+Activity_Counts!L47+5)</f>
        <v>0.23529411764705882</v>
      </c>
      <c r="D47" s="1">
        <f>Activity_Counts!L47/(Activity_Counts!E47+Activity_Counts!L47+5)</f>
        <v>0.71568627450980393</v>
      </c>
      <c r="E47">
        <f>5/(Activity_Counts!E47+Activity_Counts!L47+5)</f>
        <v>4.9019607843137254E-2</v>
      </c>
      <c r="F47">
        <f t="shared" si="0"/>
        <v>1</v>
      </c>
    </row>
    <row r="48" spans="1:6" x14ac:dyDescent="0.2">
      <c r="A48" t="s">
        <v>39</v>
      </c>
      <c r="B48" t="s">
        <v>31</v>
      </c>
      <c r="C48" s="1">
        <f>Activity_Counts!E48/(Activity_Counts!E48+Activity_Counts!L48+5)</f>
        <v>0.23529411764705882</v>
      </c>
      <c r="D48" s="1">
        <f>Activity_Counts!L48/(Activity_Counts!E48+Activity_Counts!L48+5)</f>
        <v>0.71568627450980393</v>
      </c>
      <c r="E48">
        <f>5/(Activity_Counts!E48+Activity_Counts!L48+5)</f>
        <v>4.9019607843137254E-2</v>
      </c>
      <c r="F48">
        <f t="shared" si="0"/>
        <v>1</v>
      </c>
    </row>
    <row r="49" spans="1:6" x14ac:dyDescent="0.2">
      <c r="A49" t="s">
        <v>40</v>
      </c>
      <c r="B49" t="s">
        <v>30</v>
      </c>
      <c r="C49" s="1">
        <f>Activity_Counts!E49/(Activity_Counts!E49+Activity_Counts!L49+5)</f>
        <v>0.21052631578947367</v>
      </c>
      <c r="D49" s="1">
        <f>Activity_Counts!L49/(Activity_Counts!E49+Activity_Counts!L49+5)</f>
        <v>0.70175438596491224</v>
      </c>
      <c r="E49">
        <f>5/(Activity_Counts!E49+Activity_Counts!L49+5)</f>
        <v>8.771929824561403E-2</v>
      </c>
      <c r="F49">
        <f t="shared" si="0"/>
        <v>1</v>
      </c>
    </row>
    <row r="50" spans="1:6" x14ac:dyDescent="0.2">
      <c r="A50" t="s">
        <v>40</v>
      </c>
      <c r="B50" t="s">
        <v>31</v>
      </c>
      <c r="C50" s="1">
        <f>Activity_Counts!E50/(Activity_Counts!E50+Activity_Counts!L50+5)</f>
        <v>0.16923076923076924</v>
      </c>
      <c r="D50" s="1">
        <f>Activity_Counts!L50/(Activity_Counts!E50+Activity_Counts!L50+5)</f>
        <v>0.75384615384615383</v>
      </c>
      <c r="E50">
        <f>5/(Activity_Counts!E50+Activity_Counts!L50+5)</f>
        <v>7.6923076923076927E-2</v>
      </c>
      <c r="F50">
        <f t="shared" si="0"/>
        <v>1</v>
      </c>
    </row>
    <row r="51" spans="1:6" x14ac:dyDescent="0.2">
      <c r="A51" t="s">
        <v>41</v>
      </c>
      <c r="B51" t="s">
        <v>30</v>
      </c>
      <c r="C51" s="1">
        <f>Activity_Counts!E51/(Activity_Counts!E51+Activity_Counts!L51+5)</f>
        <v>0</v>
      </c>
      <c r="D51" s="1">
        <f>Activity_Counts!L51/(Activity_Counts!E51+Activity_Counts!L51+5)</f>
        <v>0.81481481481481477</v>
      </c>
      <c r="E51">
        <f>5/(Activity_Counts!E51+Activity_Counts!L51+5)</f>
        <v>0.18518518518518517</v>
      </c>
      <c r="F51">
        <f t="shared" si="0"/>
        <v>1</v>
      </c>
    </row>
    <row r="52" spans="1:6" x14ac:dyDescent="0.2">
      <c r="A52" t="s">
        <v>41</v>
      </c>
      <c r="B52" t="s">
        <v>31</v>
      </c>
      <c r="C52" s="1">
        <f>Activity_Counts!E52/(Activity_Counts!E52+Activity_Counts!L52+5)</f>
        <v>0</v>
      </c>
      <c r="D52" s="1">
        <f>Activity_Counts!L52/(Activity_Counts!E52+Activity_Counts!L52+5)</f>
        <v>0.73684210526315785</v>
      </c>
      <c r="E52">
        <f>5/(Activity_Counts!E52+Activity_Counts!L52+5)</f>
        <v>0.26315789473684209</v>
      </c>
      <c r="F52">
        <f t="shared" si="0"/>
        <v>1</v>
      </c>
    </row>
    <row r="53" spans="1:6" x14ac:dyDescent="0.2">
      <c r="A53" t="s">
        <v>42</v>
      </c>
      <c r="B53" t="s">
        <v>43</v>
      </c>
      <c r="C53" s="1">
        <f>Activity_Counts!E53/(Activity_Counts!E53+Activity_Counts!L53+5)</f>
        <v>0</v>
      </c>
      <c r="D53" s="1">
        <f>Activity_Counts!L53/(Activity_Counts!E53+Activity_Counts!L53+5)</f>
        <v>0.82758620689655171</v>
      </c>
      <c r="E53">
        <f>5/(Activity_Counts!E53+Activity_Counts!L53+5)</f>
        <v>0.17241379310344829</v>
      </c>
      <c r="F53">
        <f t="shared" si="0"/>
        <v>1</v>
      </c>
    </row>
    <row r="54" spans="1:6" x14ac:dyDescent="0.2">
      <c r="A54" t="s">
        <v>42</v>
      </c>
      <c r="B54" t="s">
        <v>44</v>
      </c>
      <c r="C54" s="1">
        <f>Activity_Counts!E54/(Activity_Counts!E54+Activity_Counts!L54+5)</f>
        <v>0</v>
      </c>
      <c r="D54" s="1">
        <f>Activity_Counts!L54/(Activity_Counts!E54+Activity_Counts!L54+5)</f>
        <v>0.82758620689655171</v>
      </c>
      <c r="E54">
        <f>5/(Activity_Counts!E54+Activity_Counts!L54+5)</f>
        <v>0.17241379310344829</v>
      </c>
      <c r="F54">
        <f t="shared" si="0"/>
        <v>1</v>
      </c>
    </row>
    <row r="55" spans="1:6" x14ac:dyDescent="0.2">
      <c r="A55" t="s">
        <v>46</v>
      </c>
      <c r="B55" t="s">
        <v>30</v>
      </c>
      <c r="C55" s="1">
        <f>Activity_Counts!E55/(Activity_Counts!E55+Activity_Counts!L55+5)</f>
        <v>0</v>
      </c>
      <c r="D55" s="1">
        <f>Activity_Counts!L55/(Activity_Counts!E55+Activity_Counts!L55+5)</f>
        <v>0</v>
      </c>
      <c r="E55">
        <f>5/(Activity_Counts!E55+Activity_Counts!L55+5)</f>
        <v>1</v>
      </c>
      <c r="F55">
        <f t="shared" si="0"/>
        <v>1</v>
      </c>
    </row>
    <row r="56" spans="1:6" x14ac:dyDescent="0.2">
      <c r="A56" t="s">
        <v>47</v>
      </c>
      <c r="B56" t="s">
        <v>30</v>
      </c>
      <c r="C56" s="1">
        <f>Activity_Counts!E56/(Activity_Counts!E56+Activity_Counts!L56+5)</f>
        <v>0</v>
      </c>
      <c r="D56" s="1">
        <f>Activity_Counts!L56/(Activity_Counts!E56+Activity_Counts!L56+5)</f>
        <v>0</v>
      </c>
      <c r="E56">
        <f>5/(Activity_Counts!E56+Activity_Counts!L56+5)</f>
        <v>1</v>
      </c>
      <c r="F56">
        <f t="shared" si="0"/>
        <v>1</v>
      </c>
    </row>
    <row r="57" spans="1:6" x14ac:dyDescent="0.2">
      <c r="A57" t="s">
        <v>48</v>
      </c>
      <c r="B57" t="s">
        <v>31</v>
      </c>
      <c r="C57" s="1">
        <f>Activity_Counts!E57/(Activity_Counts!E57+Activity_Counts!L57+5)</f>
        <v>0</v>
      </c>
      <c r="D57" s="1">
        <f>Activity_Counts!L57/(Activity_Counts!E57+Activity_Counts!L57+5)</f>
        <v>0</v>
      </c>
      <c r="E57">
        <f>5/(Activity_Counts!E57+Activity_Counts!L57+5)</f>
        <v>1</v>
      </c>
      <c r="F57">
        <f t="shared" si="0"/>
        <v>1</v>
      </c>
    </row>
    <row r="58" spans="1:6" x14ac:dyDescent="0.2">
      <c r="A58" t="s">
        <v>48</v>
      </c>
      <c r="B58" t="s">
        <v>30</v>
      </c>
      <c r="C58" s="1">
        <f>Activity_Counts!E58/(Activity_Counts!E58+Activity_Counts!L58+5)</f>
        <v>0</v>
      </c>
      <c r="D58" s="1">
        <f>Activity_Counts!L58/(Activity_Counts!E58+Activity_Counts!L58+5)</f>
        <v>0</v>
      </c>
      <c r="E58">
        <f>5/(Activity_Counts!E58+Activity_Counts!L58+5)</f>
        <v>1</v>
      </c>
      <c r="F58">
        <f t="shared" si="0"/>
        <v>1</v>
      </c>
    </row>
    <row r="59" spans="1:6" x14ac:dyDescent="0.2">
      <c r="A59" t="s">
        <v>49</v>
      </c>
      <c r="B59" t="s">
        <v>20</v>
      </c>
      <c r="C59" s="1">
        <f>Activity_Counts!E59/(Activity_Counts!E59+Activity_Counts!L59+5)</f>
        <v>0</v>
      </c>
      <c r="D59" s="1">
        <f>Activity_Counts!L59/(Activity_Counts!E59+Activity_Counts!L59+5)</f>
        <v>0</v>
      </c>
      <c r="E59">
        <f>5/(Activity_Counts!E59+Activity_Counts!L59+5)</f>
        <v>1</v>
      </c>
      <c r="F59">
        <f t="shared" si="0"/>
        <v>1</v>
      </c>
    </row>
    <row r="60" spans="1:6" x14ac:dyDescent="0.2">
      <c r="A60" t="s">
        <v>49</v>
      </c>
      <c r="B60" t="s">
        <v>21</v>
      </c>
      <c r="C60" s="1">
        <f>Activity_Counts!E60/(Activity_Counts!E60+Activity_Counts!L60+5)</f>
        <v>0</v>
      </c>
      <c r="D60" s="1">
        <f>Activity_Counts!L60/(Activity_Counts!E60+Activity_Counts!L60+5)</f>
        <v>0</v>
      </c>
      <c r="E60">
        <f>5/(Activity_Counts!E60+Activity_Counts!L60+5)</f>
        <v>1</v>
      </c>
      <c r="F60">
        <f t="shared" si="0"/>
        <v>1</v>
      </c>
    </row>
    <row r="61" spans="1:6" x14ac:dyDescent="0.2">
      <c r="A61" t="s">
        <v>50</v>
      </c>
      <c r="B61" t="s">
        <v>31</v>
      </c>
      <c r="C61" s="1">
        <f>Activity_Counts!E61/(Activity_Counts!E61+Activity_Counts!L61+5)</f>
        <v>0</v>
      </c>
      <c r="D61" s="1">
        <f>Activity_Counts!L61/(Activity_Counts!E61+Activity_Counts!L61+5)</f>
        <v>0</v>
      </c>
      <c r="E61">
        <f>5/(Activity_Counts!E61+Activity_Counts!L61+5)</f>
        <v>1</v>
      </c>
      <c r="F61">
        <f t="shared" si="0"/>
        <v>1</v>
      </c>
    </row>
    <row r="62" spans="1:6" x14ac:dyDescent="0.2">
      <c r="A62" t="s">
        <v>50</v>
      </c>
      <c r="B62" t="s">
        <v>30</v>
      </c>
      <c r="C62" s="1">
        <f>Activity_Counts!E62/(Activity_Counts!E62+Activity_Counts!L62+5)</f>
        <v>0</v>
      </c>
      <c r="D62" s="1">
        <f>Activity_Counts!L62/(Activity_Counts!E62+Activity_Counts!L62+5)</f>
        <v>0</v>
      </c>
      <c r="E62">
        <f>5/(Activity_Counts!E62+Activity_Counts!L62+5)</f>
        <v>1</v>
      </c>
      <c r="F62">
        <f t="shared" si="0"/>
        <v>1</v>
      </c>
    </row>
    <row r="63" spans="1:6" x14ac:dyDescent="0.2">
      <c r="A63" t="s">
        <v>59</v>
      </c>
      <c r="B63" t="s">
        <v>60</v>
      </c>
      <c r="C63" s="1">
        <f>Activity_Counts!E63/(Activity_Counts!E63+Activity_Counts!L63+5)</f>
        <v>0</v>
      </c>
      <c r="D63" s="1">
        <f>Activity_Counts!L63/(Activity_Counts!E63+Activity_Counts!L63+5)</f>
        <v>0</v>
      </c>
      <c r="E63">
        <f>5/(Activity_Counts!E63+Activity_Counts!L63+5)</f>
        <v>1</v>
      </c>
      <c r="F63">
        <f t="shared" si="0"/>
        <v>1</v>
      </c>
    </row>
    <row r="64" spans="1:6" x14ac:dyDescent="0.2">
      <c r="A64" t="s">
        <v>59</v>
      </c>
      <c r="B64" t="s">
        <v>61</v>
      </c>
      <c r="C64" s="1">
        <f>Activity_Counts!E64/(Activity_Counts!E64+Activity_Counts!L64+5)</f>
        <v>0</v>
      </c>
      <c r="D64" s="1">
        <f>Activity_Counts!L64/(Activity_Counts!E64+Activity_Counts!L64+5)</f>
        <v>0</v>
      </c>
      <c r="E64">
        <f>5/(Activity_Counts!E64+Activity_Counts!L64+5)</f>
        <v>1</v>
      </c>
      <c r="F64">
        <f t="shared" ref="F64:F67" si="1">SUM(C64:E64)</f>
        <v>1</v>
      </c>
    </row>
    <row r="65" spans="1:6" x14ac:dyDescent="0.2">
      <c r="A65" t="s">
        <v>59</v>
      </c>
      <c r="B65" t="s">
        <v>62</v>
      </c>
      <c r="C65" s="1">
        <f>Activity_Counts!E65/(Activity_Counts!E65+Activity_Counts!L65+5)</f>
        <v>0</v>
      </c>
      <c r="D65" s="1">
        <f>Activity_Counts!L65/(Activity_Counts!E65+Activity_Counts!L65+5)</f>
        <v>0</v>
      </c>
      <c r="E65">
        <f>5/(Activity_Counts!E65+Activity_Counts!L65+5)</f>
        <v>1</v>
      </c>
      <c r="F65">
        <f t="shared" si="1"/>
        <v>1</v>
      </c>
    </row>
    <row r="66" spans="1:6" x14ac:dyDescent="0.2">
      <c r="A66" t="s">
        <v>59</v>
      </c>
      <c r="B66" t="s">
        <v>63</v>
      </c>
      <c r="C66" s="1">
        <f>Activity_Counts!E66/(Activity_Counts!E66+Activity_Counts!L66+5)</f>
        <v>0</v>
      </c>
      <c r="D66" s="1">
        <f>Activity_Counts!L66/(Activity_Counts!E66+Activity_Counts!L66+5)</f>
        <v>0</v>
      </c>
      <c r="E66">
        <f>5/(Activity_Counts!E66+Activity_Counts!L66+5)</f>
        <v>1</v>
      </c>
      <c r="F66">
        <f t="shared" si="1"/>
        <v>1</v>
      </c>
    </row>
    <row r="67" spans="1:6" x14ac:dyDescent="0.2">
      <c r="A67" t="s">
        <v>59</v>
      </c>
      <c r="B67" t="s">
        <v>64</v>
      </c>
      <c r="C67" s="1">
        <f>Activity_Counts!E67/(Activity_Counts!E67+Activity_Counts!L67+5)</f>
        <v>0</v>
      </c>
      <c r="D67" s="1">
        <f>Activity_Counts!L67/(Activity_Counts!E67+Activity_Counts!L67+5)</f>
        <v>0</v>
      </c>
      <c r="E67">
        <f>5/(Activity_Counts!E67+Activity_Counts!L67+5)</f>
        <v>1</v>
      </c>
      <c r="F67">
        <f t="shared" si="1"/>
        <v>1</v>
      </c>
    </row>
    <row r="68" spans="1:6" x14ac:dyDescent="0.2">
      <c r="C68" s="1"/>
      <c r="D68" s="1"/>
    </row>
    <row r="69" spans="1:6" x14ac:dyDescent="0.2">
      <c r="C69" s="1"/>
      <c r="D69" s="1"/>
    </row>
    <row r="70" spans="1:6" x14ac:dyDescent="0.2">
      <c r="C70" s="1"/>
      <c r="D70" s="1"/>
    </row>
    <row r="71" spans="1:6" x14ac:dyDescent="0.2">
      <c r="C71" s="1"/>
      <c r="D71" s="1"/>
    </row>
    <row r="72" spans="1:6" x14ac:dyDescent="0.2">
      <c r="C72" s="1"/>
      <c r="D72" s="1"/>
    </row>
    <row r="73" spans="1:6" x14ac:dyDescent="0.2">
      <c r="C73" s="1"/>
      <c r="D73" s="1"/>
    </row>
    <row r="74" spans="1:6" x14ac:dyDescent="0.2">
      <c r="C74" s="1"/>
      <c r="D74" s="1"/>
    </row>
    <row r="75" spans="1:6" x14ac:dyDescent="0.2">
      <c r="C75" s="1"/>
      <c r="D75" s="1"/>
    </row>
    <row r="76" spans="1:6" x14ac:dyDescent="0.2">
      <c r="C76" s="1"/>
      <c r="D76" s="1"/>
    </row>
    <row r="77" spans="1:6" x14ac:dyDescent="0.2">
      <c r="C77" s="1"/>
      <c r="D77" s="1"/>
    </row>
    <row r="78" spans="1:6" x14ac:dyDescent="0.2">
      <c r="C78" s="1"/>
      <c r="D78" s="1"/>
    </row>
    <row r="79" spans="1:6" x14ac:dyDescent="0.2">
      <c r="C79" s="1"/>
      <c r="D79" s="1"/>
    </row>
    <row r="80" spans="1:6" x14ac:dyDescent="0.2">
      <c r="C80" s="1"/>
      <c r="D80" s="1"/>
    </row>
    <row r="81" spans="3:4" x14ac:dyDescent="0.2">
      <c r="C81" s="1"/>
      <c r="D81" s="1"/>
    </row>
    <row r="82" spans="3:4" x14ac:dyDescent="0.2">
      <c r="C82" s="1"/>
      <c r="D82" s="1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4814-B03B-7A40-BF1B-81EE96858799}">
  <dimension ref="A1:I82"/>
  <sheetViews>
    <sheetView zoomScale="166" zoomScaleNormal="257" workbookViewId="0">
      <selection activeCell="A8" sqref="A8:XFD8"/>
    </sheetView>
  </sheetViews>
  <sheetFormatPr baseColWidth="10" defaultRowHeight="16" x14ac:dyDescent="0.2"/>
  <cols>
    <col min="1" max="1" width="7.5" bestFit="1" customWidth="1"/>
    <col min="2" max="2" width="15" bestFit="1" customWidth="1"/>
    <col min="5" max="5" width="12.1640625" bestFit="1" customWidth="1"/>
    <col min="8" max="8" width="15.5" bestFit="1" customWidth="1"/>
    <col min="9" max="9" width="18.1640625" bestFit="1" customWidth="1"/>
    <col min="10" max="10" width="20.1640625" bestFit="1" customWidth="1"/>
    <col min="11" max="11" width="15.33203125" bestFit="1" customWidth="1"/>
  </cols>
  <sheetData>
    <row r="1" spans="1:9" ht="17" x14ac:dyDescent="0.25">
      <c r="A1" t="s">
        <v>0</v>
      </c>
      <c r="B1" t="s">
        <v>1</v>
      </c>
      <c r="C1" s="1" t="s">
        <v>51</v>
      </c>
      <c r="D1" t="s">
        <v>52</v>
      </c>
      <c r="E1" t="s">
        <v>53</v>
      </c>
      <c r="F1" t="s">
        <v>7</v>
      </c>
      <c r="I1" s="2"/>
    </row>
    <row r="2" spans="1:9" x14ac:dyDescent="0.2">
      <c r="A2" t="s">
        <v>13</v>
      </c>
      <c r="B2" t="s">
        <v>45</v>
      </c>
      <c r="C2" s="1">
        <f>Activity_Counts!D2/(Activity_Counts!D2+Activity_Counts!K2+5)</f>
        <v>0</v>
      </c>
      <c r="D2" s="1">
        <f>Activity_Counts!K2/(Activity_Counts!D2+Activity_Counts!K2+5)</f>
        <v>0.84848484848484851</v>
      </c>
      <c r="E2" s="1">
        <f>5/(Activity_Counts!D2+Activity_Counts!K2+5)</f>
        <v>0.15151515151515152</v>
      </c>
      <c r="F2" s="1">
        <f>SUM(C2:E2)</f>
        <v>1</v>
      </c>
    </row>
    <row r="3" spans="1:9" x14ac:dyDescent="0.2">
      <c r="A3" s="1" t="s">
        <v>14</v>
      </c>
      <c r="B3" s="1" t="s">
        <v>54</v>
      </c>
      <c r="C3" s="1">
        <f>Activity_Counts!D3/(Activity_Counts!D3+Activity_Counts!K3+5)</f>
        <v>0</v>
      </c>
      <c r="D3" s="1">
        <f>Activity_Counts!K3/(Activity_Counts!D3+Activity_Counts!K3+5)</f>
        <v>0.6428571428571429</v>
      </c>
      <c r="E3" s="1">
        <f>5/(Activity_Counts!D3+Activity_Counts!K3+5)</f>
        <v>0.35714285714285715</v>
      </c>
      <c r="F3" s="1">
        <f t="shared" ref="F3:F64" si="0">SUM(C3:E3)</f>
        <v>1</v>
      </c>
    </row>
    <row r="4" spans="1:9" x14ac:dyDescent="0.2">
      <c r="A4" s="1" t="s">
        <v>14</v>
      </c>
      <c r="B4" s="1" t="s">
        <v>55</v>
      </c>
      <c r="C4" s="1">
        <f>Activity_Counts!D4/(Activity_Counts!D4+Activity_Counts!K4+5)</f>
        <v>0.22727272727272727</v>
      </c>
      <c r="D4" s="1">
        <f>Activity_Counts!K4/(Activity_Counts!D4+Activity_Counts!K4+5)</f>
        <v>0.54545454545454541</v>
      </c>
      <c r="E4" s="1">
        <f>5/(Activity_Counts!D4+Activity_Counts!K4+5)</f>
        <v>0.22727272727272727</v>
      </c>
      <c r="F4" s="1">
        <f t="shared" si="0"/>
        <v>1</v>
      </c>
    </row>
    <row r="5" spans="1:9" x14ac:dyDescent="0.2">
      <c r="A5" s="1" t="s">
        <v>14</v>
      </c>
      <c r="B5" s="1" t="s">
        <v>56</v>
      </c>
      <c r="C5" s="1">
        <f>Activity_Counts!D5/(Activity_Counts!D5+Activity_Counts!K5+5)</f>
        <v>0.69565217391304346</v>
      </c>
      <c r="D5" s="1">
        <f>Activity_Counts!K5/(Activity_Counts!D5+Activity_Counts!K5+5)</f>
        <v>8.6956521739130432E-2</v>
      </c>
      <c r="E5" s="1">
        <f>5/(Activity_Counts!D5+Activity_Counts!K5+5)</f>
        <v>0.21739130434782608</v>
      </c>
      <c r="F5" s="1">
        <f t="shared" si="0"/>
        <v>0.99999999999999989</v>
      </c>
    </row>
    <row r="6" spans="1:9" x14ac:dyDescent="0.2">
      <c r="A6" s="1" t="s">
        <v>14</v>
      </c>
      <c r="B6" s="1" t="s">
        <v>57</v>
      </c>
      <c r="C6" s="1">
        <f>Activity_Counts!D6/(Activity_Counts!D6+Activity_Counts!K6+5)</f>
        <v>0</v>
      </c>
      <c r="D6" s="1">
        <f>Activity_Counts!K6/(Activity_Counts!D6+Activity_Counts!K6+5)</f>
        <v>0.16666666666666666</v>
      </c>
      <c r="E6" s="1">
        <f>5/(Activity_Counts!D6+Activity_Counts!K6+5)</f>
        <v>0.83333333333333337</v>
      </c>
      <c r="F6" s="1">
        <f t="shared" si="0"/>
        <v>1</v>
      </c>
    </row>
    <row r="7" spans="1:9" x14ac:dyDescent="0.2">
      <c r="A7" s="1" t="s">
        <v>14</v>
      </c>
      <c r="B7" s="1" t="s">
        <v>58</v>
      </c>
      <c r="C7" s="1">
        <f>Activity_Counts!D7/(Activity_Counts!D7+Activity_Counts!K7+5)</f>
        <v>0</v>
      </c>
      <c r="D7" s="1">
        <f>Activity_Counts!K7/(Activity_Counts!D7+Activity_Counts!K7+5)</f>
        <v>0.8529411764705882</v>
      </c>
      <c r="E7" s="1">
        <f>5/(Activity_Counts!D7+Activity_Counts!K7+5)</f>
        <v>0.14705882352941177</v>
      </c>
      <c r="F7" s="1">
        <f t="shared" si="0"/>
        <v>1</v>
      </c>
    </row>
    <row r="8" spans="1:9" x14ac:dyDescent="0.2">
      <c r="A8" t="s">
        <v>15</v>
      </c>
      <c r="B8" t="s">
        <v>54</v>
      </c>
      <c r="C8" s="1">
        <f>Activity_Counts!D8/(Activity_Counts!D8+Activity_Counts!K8+5)</f>
        <v>0</v>
      </c>
      <c r="D8" s="1">
        <f>Activity_Counts!K8/(Activity_Counts!D8+Activity_Counts!K8+5)</f>
        <v>0.61538461538461542</v>
      </c>
      <c r="E8" s="1">
        <f>5/(Activity_Counts!D8+Activity_Counts!K8+5)</f>
        <v>0.38461538461538464</v>
      </c>
      <c r="F8" s="1">
        <f t="shared" si="0"/>
        <v>1</v>
      </c>
    </row>
    <row r="9" spans="1:9" x14ac:dyDescent="0.2">
      <c r="A9" t="s">
        <v>15</v>
      </c>
      <c r="B9" t="s">
        <v>55</v>
      </c>
      <c r="C9" s="1">
        <f>Activity_Counts!D9/(Activity_Counts!D9+Activity_Counts!K9+5)</f>
        <v>6.4516129032258063E-2</v>
      </c>
      <c r="D9" s="1">
        <f>Activity_Counts!K9/(Activity_Counts!D9+Activity_Counts!K9+5)</f>
        <v>0.77419354838709675</v>
      </c>
      <c r="E9" s="1">
        <f>5/(Activity_Counts!D9+Activity_Counts!K9+5)</f>
        <v>0.16129032258064516</v>
      </c>
      <c r="F9" s="1">
        <f t="shared" si="0"/>
        <v>0.99999999999999989</v>
      </c>
    </row>
    <row r="10" spans="1:9" x14ac:dyDescent="0.2">
      <c r="A10" t="s">
        <v>15</v>
      </c>
      <c r="B10" t="s">
        <v>56</v>
      </c>
      <c r="C10" s="1">
        <f>Activity_Counts!D10/(Activity_Counts!D10+Activity_Counts!K10+5)</f>
        <v>0.3</v>
      </c>
      <c r="D10" s="1">
        <f>Activity_Counts!K10/(Activity_Counts!D10+Activity_Counts!K10+5)</f>
        <v>0.2</v>
      </c>
      <c r="E10" s="1">
        <f>5/(Activity_Counts!D10+Activity_Counts!K10+5)</f>
        <v>0.5</v>
      </c>
      <c r="F10" s="1">
        <f t="shared" si="0"/>
        <v>1</v>
      </c>
    </row>
    <row r="11" spans="1:9" x14ac:dyDescent="0.2">
      <c r="A11" t="s">
        <v>15</v>
      </c>
      <c r="B11" t="s">
        <v>57</v>
      </c>
      <c r="C11" s="1">
        <f>Activity_Counts!D11/(Activity_Counts!D11+Activity_Counts!K11+5)</f>
        <v>0</v>
      </c>
      <c r="D11" s="1">
        <f>Activity_Counts!K11/(Activity_Counts!D11+Activity_Counts!K11+5)</f>
        <v>0.2857142857142857</v>
      </c>
      <c r="E11" s="1">
        <f>5/(Activity_Counts!D11+Activity_Counts!K11+5)</f>
        <v>0.7142857142857143</v>
      </c>
      <c r="F11" s="1">
        <f t="shared" si="0"/>
        <v>1</v>
      </c>
    </row>
    <row r="12" spans="1:9" x14ac:dyDescent="0.2">
      <c r="A12" t="s">
        <v>15</v>
      </c>
      <c r="B12" t="s">
        <v>58</v>
      </c>
      <c r="C12" s="1">
        <f>Activity_Counts!D12/(Activity_Counts!D12+Activity_Counts!K12+5)</f>
        <v>0</v>
      </c>
      <c r="D12" s="1">
        <f>Activity_Counts!K12/(Activity_Counts!D12+Activity_Counts!K12+5)</f>
        <v>0.6428571428571429</v>
      </c>
      <c r="E12" s="1">
        <f>5/(Activity_Counts!D12+Activity_Counts!K12+5)</f>
        <v>0.35714285714285715</v>
      </c>
      <c r="F12" s="1">
        <f t="shared" si="0"/>
        <v>1</v>
      </c>
    </row>
    <row r="13" spans="1:9" x14ac:dyDescent="0.2">
      <c r="A13" t="s">
        <v>16</v>
      </c>
      <c r="B13" t="s">
        <v>17</v>
      </c>
      <c r="C13" s="1">
        <f>Activity_Counts!D13/(Activity_Counts!D13+Activity_Counts!K13+5)</f>
        <v>1.3333333333333334E-2</v>
      </c>
      <c r="D13" s="1">
        <f>Activity_Counts!K13/(Activity_Counts!D13+Activity_Counts!K13+5)</f>
        <v>0.92</v>
      </c>
      <c r="E13" s="1">
        <f>5/(Activity_Counts!D13+Activity_Counts!K13+5)</f>
        <v>6.6666666666666666E-2</v>
      </c>
      <c r="F13" s="1">
        <f t="shared" si="0"/>
        <v>1</v>
      </c>
    </row>
    <row r="14" spans="1:9" x14ac:dyDescent="0.2">
      <c r="A14" t="s">
        <v>16</v>
      </c>
      <c r="B14" t="s">
        <v>18</v>
      </c>
      <c r="C14" s="1">
        <f>Activity_Counts!D14/(Activity_Counts!D14+Activity_Counts!K14+5)</f>
        <v>1.3333333333333334E-2</v>
      </c>
      <c r="D14" s="1">
        <f>Activity_Counts!K14/(Activity_Counts!D14+Activity_Counts!K14+5)</f>
        <v>0.92</v>
      </c>
      <c r="E14" s="1">
        <f>5/(Activity_Counts!D14+Activity_Counts!K14+5)</f>
        <v>6.6666666666666666E-2</v>
      </c>
      <c r="F14" s="1">
        <f t="shared" si="0"/>
        <v>1</v>
      </c>
    </row>
    <row r="15" spans="1:9" x14ac:dyDescent="0.2">
      <c r="A15" t="s">
        <v>19</v>
      </c>
      <c r="B15" t="s">
        <v>20</v>
      </c>
      <c r="C15" s="1">
        <f>Activity_Counts!D15/(Activity_Counts!D15+Activity_Counts!K15+5)</f>
        <v>3.125E-2</v>
      </c>
      <c r="D15" s="1">
        <f>Activity_Counts!K15/(Activity_Counts!D15+Activity_Counts!K15+5)</f>
        <v>0.8125</v>
      </c>
      <c r="E15" s="1">
        <f>5/(Activity_Counts!D15+Activity_Counts!K15+5)</f>
        <v>0.15625</v>
      </c>
      <c r="F15" s="1">
        <f t="shared" si="0"/>
        <v>1</v>
      </c>
    </row>
    <row r="16" spans="1:9" x14ac:dyDescent="0.2">
      <c r="A16" t="s">
        <v>19</v>
      </c>
      <c r="B16" t="s">
        <v>21</v>
      </c>
      <c r="C16" s="1">
        <f>Activity_Counts!D16/(Activity_Counts!D16+Activity_Counts!K16+5)</f>
        <v>3.8461538461538464E-2</v>
      </c>
      <c r="D16" s="1">
        <f>Activity_Counts!K16/(Activity_Counts!D16+Activity_Counts!K16+5)</f>
        <v>0.76923076923076927</v>
      </c>
      <c r="E16" s="1">
        <f>5/(Activity_Counts!D16+Activity_Counts!K16+5)</f>
        <v>0.19230769230769232</v>
      </c>
      <c r="F16" s="1">
        <f t="shared" si="0"/>
        <v>1</v>
      </c>
    </row>
    <row r="17" spans="1:6" x14ac:dyDescent="0.2">
      <c r="A17" t="s">
        <v>22</v>
      </c>
      <c r="B17" t="s">
        <v>20</v>
      </c>
      <c r="C17" s="1">
        <f>Activity_Counts!D17/(Activity_Counts!D17+Activity_Counts!K17+5)</f>
        <v>3.4482758620689655E-2</v>
      </c>
      <c r="D17" s="1">
        <f>Activity_Counts!K17/(Activity_Counts!D17+Activity_Counts!K17+5)</f>
        <v>0.7931034482758621</v>
      </c>
      <c r="E17" s="1">
        <f>5/(Activity_Counts!D17+Activity_Counts!K17+5)</f>
        <v>0.17241379310344829</v>
      </c>
      <c r="F17" s="1">
        <f t="shared" si="0"/>
        <v>1</v>
      </c>
    </row>
    <row r="18" spans="1:6" x14ac:dyDescent="0.2">
      <c r="A18" t="s">
        <v>22</v>
      </c>
      <c r="B18" t="s">
        <v>21</v>
      </c>
      <c r="C18" s="1">
        <f>Activity_Counts!D18/(Activity_Counts!D18+Activity_Counts!K18+5)</f>
        <v>0</v>
      </c>
      <c r="D18" s="1">
        <f>Activity_Counts!K18/(Activity_Counts!D18+Activity_Counts!K18+5)</f>
        <v>0.75</v>
      </c>
      <c r="E18" s="1">
        <f>5/(Activity_Counts!D18+Activity_Counts!K18+5)</f>
        <v>0.25</v>
      </c>
      <c r="F18" s="1">
        <f t="shared" si="0"/>
        <v>1</v>
      </c>
    </row>
    <row r="19" spans="1:6" x14ac:dyDescent="0.2">
      <c r="A19" t="s">
        <v>23</v>
      </c>
      <c r="B19" t="s">
        <v>20</v>
      </c>
      <c r="C19" s="1">
        <f>Activity_Counts!D19/(Activity_Counts!D19+Activity_Counts!K19+5)</f>
        <v>0</v>
      </c>
      <c r="D19" s="1">
        <f>Activity_Counts!K19/(Activity_Counts!D19+Activity_Counts!K19+5)</f>
        <v>0.875</v>
      </c>
      <c r="E19" s="1">
        <f>5/(Activity_Counts!D19+Activity_Counts!K19+5)</f>
        <v>0.125</v>
      </c>
      <c r="F19" s="1">
        <f t="shared" si="0"/>
        <v>1</v>
      </c>
    </row>
    <row r="20" spans="1:6" x14ac:dyDescent="0.2">
      <c r="A20" t="s">
        <v>23</v>
      </c>
      <c r="B20" t="s">
        <v>21</v>
      </c>
      <c r="C20" s="1">
        <f>Activity_Counts!D20/(Activity_Counts!D20+Activity_Counts!K20+5)</f>
        <v>0</v>
      </c>
      <c r="D20" s="1">
        <f>Activity_Counts!K20/(Activity_Counts!D20+Activity_Counts!K20+5)</f>
        <v>0.75</v>
      </c>
      <c r="E20" s="1">
        <f>5/(Activity_Counts!D20+Activity_Counts!K20+5)</f>
        <v>0.25</v>
      </c>
      <c r="F20" s="1">
        <f t="shared" si="0"/>
        <v>1</v>
      </c>
    </row>
    <row r="21" spans="1:6" x14ac:dyDescent="0.2">
      <c r="A21" t="s">
        <v>24</v>
      </c>
      <c r="B21" t="s">
        <v>20</v>
      </c>
      <c r="C21" s="1">
        <f>Activity_Counts!D21/(Activity_Counts!D21+Activity_Counts!K21+5)</f>
        <v>0</v>
      </c>
      <c r="D21" s="1">
        <f>Activity_Counts!K21/(Activity_Counts!D21+Activity_Counts!K21+5)</f>
        <v>0.83870967741935487</v>
      </c>
      <c r="E21" s="1">
        <f>5/(Activity_Counts!D21+Activity_Counts!K21+5)</f>
        <v>0.16129032258064516</v>
      </c>
      <c r="F21" s="1">
        <f t="shared" si="0"/>
        <v>1</v>
      </c>
    </row>
    <row r="22" spans="1:6" x14ac:dyDescent="0.2">
      <c r="A22" t="s">
        <v>24</v>
      </c>
      <c r="B22" t="s">
        <v>21</v>
      </c>
      <c r="C22" s="1">
        <f>Activity_Counts!D22/(Activity_Counts!D22+Activity_Counts!K22+5)</f>
        <v>0</v>
      </c>
      <c r="D22" s="1">
        <f>Activity_Counts!K22/(Activity_Counts!D22+Activity_Counts!K22+5)</f>
        <v>0.66666666666666663</v>
      </c>
      <c r="E22" s="1">
        <f>5/(Activity_Counts!D22+Activity_Counts!K22+5)</f>
        <v>0.33333333333333331</v>
      </c>
      <c r="F22" s="1">
        <f t="shared" si="0"/>
        <v>1</v>
      </c>
    </row>
    <row r="23" spans="1:6" x14ac:dyDescent="0.2">
      <c r="A23" t="s">
        <v>25</v>
      </c>
      <c r="B23" t="s">
        <v>20</v>
      </c>
      <c r="C23" s="1">
        <f>Activity_Counts!D23/(Activity_Counts!D23+Activity_Counts!K23+5)</f>
        <v>3.2258064516129031E-2</v>
      </c>
      <c r="D23" s="1">
        <f>Activity_Counts!K23/(Activity_Counts!D23+Activity_Counts!K23+5)</f>
        <v>0.80645161290322576</v>
      </c>
      <c r="E23" s="1">
        <f>5/(Activity_Counts!D23+Activity_Counts!K23+5)</f>
        <v>0.16129032258064516</v>
      </c>
      <c r="F23" s="1">
        <f t="shared" si="0"/>
        <v>0.99999999999999989</v>
      </c>
    </row>
    <row r="24" spans="1:6" x14ac:dyDescent="0.2">
      <c r="A24" t="s">
        <v>25</v>
      </c>
      <c r="B24" t="s">
        <v>21</v>
      </c>
      <c r="C24" s="1">
        <f>Activity_Counts!D24/(Activity_Counts!D24+Activity_Counts!K24+5)</f>
        <v>0</v>
      </c>
      <c r="D24" s="1">
        <f>Activity_Counts!K24/(Activity_Counts!D24+Activity_Counts!K24+5)</f>
        <v>0.70588235294117652</v>
      </c>
      <c r="E24" s="1">
        <f>5/(Activity_Counts!D24+Activity_Counts!K24+5)</f>
        <v>0.29411764705882354</v>
      </c>
      <c r="F24" s="1">
        <f t="shared" si="0"/>
        <v>1</v>
      </c>
    </row>
    <row r="25" spans="1:6" x14ac:dyDescent="0.2">
      <c r="A25" t="s">
        <v>26</v>
      </c>
      <c r="B25" t="s">
        <v>20</v>
      </c>
      <c r="C25" s="1">
        <f>Activity_Counts!D25/(Activity_Counts!D25+Activity_Counts!K25+5)</f>
        <v>0</v>
      </c>
      <c r="D25" s="1">
        <f>Activity_Counts!K25/(Activity_Counts!D25+Activity_Counts!K25+5)</f>
        <v>0.83333333333333337</v>
      </c>
      <c r="E25" s="1">
        <f>5/(Activity_Counts!D25+Activity_Counts!K25+5)</f>
        <v>0.16666666666666666</v>
      </c>
      <c r="F25" s="1">
        <f t="shared" si="0"/>
        <v>1</v>
      </c>
    </row>
    <row r="26" spans="1:6" x14ac:dyDescent="0.2">
      <c r="A26" t="s">
        <v>26</v>
      </c>
      <c r="B26" t="s">
        <v>21</v>
      </c>
      <c r="C26" s="1">
        <f>Activity_Counts!D26/(Activity_Counts!D26+Activity_Counts!K26+5)</f>
        <v>0</v>
      </c>
      <c r="D26" s="1">
        <f>Activity_Counts!K26/(Activity_Counts!D26+Activity_Counts!K26+5)</f>
        <v>0.82758620689655171</v>
      </c>
      <c r="E26" s="1">
        <f>5/(Activity_Counts!D26+Activity_Counts!K26+5)</f>
        <v>0.17241379310344829</v>
      </c>
      <c r="F26" s="1">
        <f t="shared" si="0"/>
        <v>1</v>
      </c>
    </row>
    <row r="27" spans="1:6" x14ac:dyDescent="0.2">
      <c r="A27" t="s">
        <v>27</v>
      </c>
      <c r="B27" t="s">
        <v>20</v>
      </c>
      <c r="C27" s="1">
        <f>Activity_Counts!D27/(Activity_Counts!D27+Activity_Counts!K27+5)</f>
        <v>6.6666666666666666E-2</v>
      </c>
      <c r="D27" s="1">
        <f>Activity_Counts!K27/(Activity_Counts!D27+Activity_Counts!K27+5)</f>
        <v>0.76666666666666672</v>
      </c>
      <c r="E27" s="1">
        <f>5/(Activity_Counts!D27+Activity_Counts!K27+5)</f>
        <v>0.16666666666666666</v>
      </c>
      <c r="F27" s="1">
        <f t="shared" si="0"/>
        <v>1</v>
      </c>
    </row>
    <row r="28" spans="1:6" x14ac:dyDescent="0.2">
      <c r="A28" t="s">
        <v>27</v>
      </c>
      <c r="B28" t="s">
        <v>21</v>
      </c>
      <c r="C28" s="1">
        <f>Activity_Counts!D28/(Activity_Counts!D28+Activity_Counts!K28+5)</f>
        <v>0.125</v>
      </c>
      <c r="D28" s="1">
        <f>Activity_Counts!K28/(Activity_Counts!D28+Activity_Counts!K28+5)</f>
        <v>0.25</v>
      </c>
      <c r="E28" s="1">
        <f>5/(Activity_Counts!D28+Activity_Counts!K28+5)</f>
        <v>0.625</v>
      </c>
      <c r="F28" s="1">
        <f t="shared" si="0"/>
        <v>1</v>
      </c>
    </row>
    <row r="29" spans="1:6" x14ac:dyDescent="0.2">
      <c r="A29" t="s">
        <v>28</v>
      </c>
      <c r="B29" t="s">
        <v>20</v>
      </c>
      <c r="C29" s="1">
        <f>Activity_Counts!D29/(Activity_Counts!D29+Activity_Counts!K29+5)</f>
        <v>0</v>
      </c>
      <c r="D29" s="1">
        <f>Activity_Counts!K29/(Activity_Counts!D29+Activity_Counts!K29+5)</f>
        <v>0.8214285714285714</v>
      </c>
      <c r="E29" s="1">
        <f>5/(Activity_Counts!D29+Activity_Counts!K29+5)</f>
        <v>0.17857142857142858</v>
      </c>
      <c r="F29" s="1">
        <f t="shared" si="0"/>
        <v>1</v>
      </c>
    </row>
    <row r="30" spans="1:6" x14ac:dyDescent="0.2">
      <c r="A30" t="s">
        <v>28</v>
      </c>
      <c r="B30" t="s">
        <v>21</v>
      </c>
      <c r="C30" s="1">
        <f>Activity_Counts!D30/(Activity_Counts!D30+Activity_Counts!K30+5)</f>
        <v>0.15384615384615385</v>
      </c>
      <c r="D30" s="1">
        <f>Activity_Counts!K30/(Activity_Counts!D30+Activity_Counts!K30+5)</f>
        <v>0.46153846153846156</v>
      </c>
      <c r="E30" s="1">
        <f>5/(Activity_Counts!D30+Activity_Counts!K30+5)</f>
        <v>0.38461538461538464</v>
      </c>
      <c r="F30" s="1">
        <f t="shared" si="0"/>
        <v>1</v>
      </c>
    </row>
    <row r="31" spans="1:6" x14ac:dyDescent="0.2">
      <c r="A31" t="s">
        <v>29</v>
      </c>
      <c r="B31" t="s">
        <v>30</v>
      </c>
      <c r="C31" s="1">
        <f>Activity_Counts!D31/(Activity_Counts!D31+Activity_Counts!K31+5)</f>
        <v>0</v>
      </c>
      <c r="D31" s="1">
        <f>Activity_Counts!K31/(Activity_Counts!D31+Activity_Counts!K31+5)</f>
        <v>0.82758620689655171</v>
      </c>
      <c r="E31" s="1">
        <f>5/(Activity_Counts!D31+Activity_Counts!K31+5)</f>
        <v>0.17241379310344829</v>
      </c>
      <c r="F31" s="1">
        <f t="shared" si="0"/>
        <v>1</v>
      </c>
    </row>
    <row r="32" spans="1:6" x14ac:dyDescent="0.2">
      <c r="A32" t="s">
        <v>29</v>
      </c>
      <c r="B32" t="s">
        <v>31</v>
      </c>
      <c r="C32" s="1">
        <f>Activity_Counts!D32/(Activity_Counts!D32+Activity_Counts!K32+5)</f>
        <v>0</v>
      </c>
      <c r="D32" s="1">
        <f>Activity_Counts!K32/(Activity_Counts!D32+Activity_Counts!K32+5)</f>
        <v>0.77272727272727271</v>
      </c>
      <c r="E32" s="1">
        <f>5/(Activity_Counts!D32+Activity_Counts!K32+5)</f>
        <v>0.22727272727272727</v>
      </c>
      <c r="F32" s="1">
        <f t="shared" si="0"/>
        <v>1</v>
      </c>
    </row>
    <row r="33" spans="1:6" x14ac:dyDescent="0.2">
      <c r="A33" t="s">
        <v>32</v>
      </c>
      <c r="B33" t="s">
        <v>30</v>
      </c>
      <c r="C33" s="1">
        <f>Activity_Counts!D33/(Activity_Counts!D33+Activity_Counts!K33+5)</f>
        <v>0</v>
      </c>
      <c r="D33" s="1">
        <f>Activity_Counts!K33/(Activity_Counts!D33+Activity_Counts!K33+5)</f>
        <v>0.8214285714285714</v>
      </c>
      <c r="E33" s="1">
        <f>5/(Activity_Counts!D33+Activity_Counts!K33+5)</f>
        <v>0.17857142857142858</v>
      </c>
      <c r="F33" s="1">
        <f t="shared" si="0"/>
        <v>1</v>
      </c>
    </row>
    <row r="34" spans="1:6" x14ac:dyDescent="0.2">
      <c r="A34" t="s">
        <v>32</v>
      </c>
      <c r="B34" t="s">
        <v>31</v>
      </c>
      <c r="C34" s="1">
        <f>Activity_Counts!D34/(Activity_Counts!D34+Activity_Counts!K34+5)</f>
        <v>0</v>
      </c>
      <c r="D34" s="1">
        <f>Activity_Counts!K34/(Activity_Counts!D34+Activity_Counts!K34+5)</f>
        <v>0.8214285714285714</v>
      </c>
      <c r="E34" s="1">
        <f>5/(Activity_Counts!D34+Activity_Counts!K34+5)</f>
        <v>0.17857142857142858</v>
      </c>
      <c r="F34" s="1">
        <f t="shared" si="0"/>
        <v>1</v>
      </c>
    </row>
    <row r="35" spans="1:6" x14ac:dyDescent="0.2">
      <c r="A35" t="s">
        <v>33</v>
      </c>
      <c r="B35" t="s">
        <v>30</v>
      </c>
      <c r="C35" s="1">
        <f>Activity_Counts!D35/(Activity_Counts!D35+Activity_Counts!K35+5)</f>
        <v>0</v>
      </c>
      <c r="D35" s="1">
        <f>Activity_Counts!K35/(Activity_Counts!D35+Activity_Counts!K35+5)</f>
        <v>0.82758620689655171</v>
      </c>
      <c r="E35" s="1">
        <f>5/(Activity_Counts!D35+Activity_Counts!K35+5)</f>
        <v>0.17241379310344829</v>
      </c>
      <c r="F35" s="1">
        <f t="shared" si="0"/>
        <v>1</v>
      </c>
    </row>
    <row r="36" spans="1:6" x14ac:dyDescent="0.2">
      <c r="A36" t="s">
        <v>33</v>
      </c>
      <c r="B36" t="s">
        <v>31</v>
      </c>
      <c r="C36" s="1">
        <f>Activity_Counts!D36/(Activity_Counts!D36+Activity_Counts!K36+5)</f>
        <v>0</v>
      </c>
      <c r="D36" s="1">
        <f>Activity_Counts!K36/(Activity_Counts!D36+Activity_Counts!K36+5)</f>
        <v>0.82758620689655171</v>
      </c>
      <c r="E36" s="1">
        <f>5/(Activity_Counts!D36+Activity_Counts!K36+5)</f>
        <v>0.17241379310344829</v>
      </c>
      <c r="F36" s="1">
        <f t="shared" si="0"/>
        <v>1</v>
      </c>
    </row>
    <row r="37" spans="1:6" x14ac:dyDescent="0.2">
      <c r="A37" t="s">
        <v>34</v>
      </c>
      <c r="B37" t="s">
        <v>30</v>
      </c>
      <c r="C37" s="1">
        <f>Activity_Counts!D37/(Activity_Counts!D37+Activity_Counts!K37+5)</f>
        <v>0</v>
      </c>
      <c r="D37" s="1">
        <f>Activity_Counts!K37/(Activity_Counts!D37+Activity_Counts!K37+5)</f>
        <v>0.79166666666666663</v>
      </c>
      <c r="E37" s="1">
        <f>5/(Activity_Counts!D37+Activity_Counts!K37+5)</f>
        <v>0.20833333333333334</v>
      </c>
      <c r="F37" s="1">
        <f t="shared" si="0"/>
        <v>1</v>
      </c>
    </row>
    <row r="38" spans="1:6" x14ac:dyDescent="0.2">
      <c r="A38" t="s">
        <v>34</v>
      </c>
      <c r="B38" t="s">
        <v>31</v>
      </c>
      <c r="C38" s="1">
        <f>Activity_Counts!D38/(Activity_Counts!D38+Activity_Counts!K38+5)</f>
        <v>0</v>
      </c>
      <c r="D38" s="1">
        <f>Activity_Counts!K38/(Activity_Counts!D38+Activity_Counts!K38+5)</f>
        <v>0.79166666666666663</v>
      </c>
      <c r="E38" s="1">
        <f>5/(Activity_Counts!D38+Activity_Counts!K38+5)</f>
        <v>0.20833333333333334</v>
      </c>
      <c r="F38" s="1">
        <f t="shared" si="0"/>
        <v>1</v>
      </c>
    </row>
    <row r="39" spans="1:6" x14ac:dyDescent="0.2">
      <c r="A39" t="s">
        <v>35</v>
      </c>
      <c r="B39" t="s">
        <v>30</v>
      </c>
      <c r="C39" s="1">
        <f>Activity_Counts!D39/(Activity_Counts!D39+Activity_Counts!K39+5)</f>
        <v>0.23711340206185566</v>
      </c>
      <c r="D39" s="1">
        <f>Activity_Counts!K39/(Activity_Counts!D39+Activity_Counts!K39+5)</f>
        <v>0.71134020618556704</v>
      </c>
      <c r="E39" s="1">
        <f>5/(Activity_Counts!D39+Activity_Counts!K39+5)</f>
        <v>5.1546391752577317E-2</v>
      </c>
      <c r="F39" s="1">
        <f t="shared" si="0"/>
        <v>1</v>
      </c>
    </row>
    <row r="40" spans="1:6" x14ac:dyDescent="0.2">
      <c r="A40" t="s">
        <v>35</v>
      </c>
      <c r="B40" t="s">
        <v>31</v>
      </c>
      <c r="C40" s="1">
        <f>Activity_Counts!D40/(Activity_Counts!D40+Activity_Counts!K40+5)</f>
        <v>0.16470588235294117</v>
      </c>
      <c r="D40" s="1">
        <f>Activity_Counts!K40/(Activity_Counts!D40+Activity_Counts!K40+5)</f>
        <v>0.77647058823529413</v>
      </c>
      <c r="E40" s="1">
        <f>5/(Activity_Counts!D40+Activity_Counts!K40+5)</f>
        <v>5.8823529411764705E-2</v>
      </c>
      <c r="F40" s="1">
        <f t="shared" si="0"/>
        <v>1</v>
      </c>
    </row>
    <row r="41" spans="1:6" x14ac:dyDescent="0.2">
      <c r="A41" t="s">
        <v>36</v>
      </c>
      <c r="B41" t="s">
        <v>30</v>
      </c>
      <c r="C41" s="1">
        <f>Activity_Counts!D41/(Activity_Counts!D41+Activity_Counts!K41+5)</f>
        <v>0.23529411764705882</v>
      </c>
      <c r="D41" s="1">
        <f>Activity_Counts!K41/(Activity_Counts!D41+Activity_Counts!K41+5)</f>
        <v>0.71568627450980393</v>
      </c>
      <c r="E41" s="1">
        <f>5/(Activity_Counts!D41+Activity_Counts!K41+5)</f>
        <v>4.9019607843137254E-2</v>
      </c>
      <c r="F41" s="1">
        <f t="shared" si="0"/>
        <v>1</v>
      </c>
    </row>
    <row r="42" spans="1:6" x14ac:dyDescent="0.2">
      <c r="A42" t="s">
        <v>36</v>
      </c>
      <c r="B42" t="s">
        <v>31</v>
      </c>
      <c r="C42" s="1">
        <f>Activity_Counts!D42/(Activity_Counts!D42+Activity_Counts!K42+5)</f>
        <v>0.2</v>
      </c>
      <c r="D42" s="1">
        <f>Activity_Counts!K42/(Activity_Counts!D42+Activity_Counts!K42+5)</f>
        <v>0.74736842105263157</v>
      </c>
      <c r="E42" s="1">
        <f>5/(Activity_Counts!D42+Activity_Counts!K42+5)</f>
        <v>5.2631578947368418E-2</v>
      </c>
      <c r="F42" s="1">
        <f t="shared" si="0"/>
        <v>1</v>
      </c>
    </row>
    <row r="43" spans="1:6" x14ac:dyDescent="0.2">
      <c r="A43" t="s">
        <v>37</v>
      </c>
      <c r="B43" t="s">
        <v>30</v>
      </c>
      <c r="C43" s="1">
        <f>Activity_Counts!D43/(Activity_Counts!D43+Activity_Counts!K43+5)</f>
        <v>0.3</v>
      </c>
      <c r="D43" s="1">
        <f>Activity_Counts!K43/(Activity_Counts!D43+Activity_Counts!K43+5)</f>
        <v>0.63749999999999996</v>
      </c>
      <c r="E43" s="1">
        <f>5/(Activity_Counts!D43+Activity_Counts!K43+5)</f>
        <v>6.25E-2</v>
      </c>
      <c r="F43" s="1">
        <f t="shared" si="0"/>
        <v>1</v>
      </c>
    </row>
    <row r="44" spans="1:6" x14ac:dyDescent="0.2">
      <c r="A44" t="s">
        <v>37</v>
      </c>
      <c r="B44" t="s">
        <v>31</v>
      </c>
      <c r="C44" s="1">
        <f>Activity_Counts!D44/(Activity_Counts!D44+Activity_Counts!K44+5)</f>
        <v>0.29113924050632911</v>
      </c>
      <c r="D44" s="1">
        <f>Activity_Counts!K44/(Activity_Counts!D44+Activity_Counts!K44+5)</f>
        <v>0.64556962025316456</v>
      </c>
      <c r="E44" s="1">
        <f>5/(Activity_Counts!D44+Activity_Counts!K44+5)</f>
        <v>6.3291139240506333E-2</v>
      </c>
      <c r="F44" s="1">
        <f t="shared" si="0"/>
        <v>1</v>
      </c>
    </row>
    <row r="45" spans="1:6" x14ac:dyDescent="0.2">
      <c r="A45" t="s">
        <v>38</v>
      </c>
      <c r="B45" t="s">
        <v>30</v>
      </c>
      <c r="C45" s="1">
        <f>Activity_Counts!D45/(Activity_Counts!D45+Activity_Counts!K45+5)</f>
        <v>0.28915662650602408</v>
      </c>
      <c r="D45" s="1">
        <f>Activity_Counts!K45/(Activity_Counts!D45+Activity_Counts!K45+5)</f>
        <v>0.6506024096385542</v>
      </c>
      <c r="E45" s="1">
        <f>5/(Activity_Counts!D45+Activity_Counts!K45+5)</f>
        <v>6.0240963855421686E-2</v>
      </c>
      <c r="F45" s="1">
        <f t="shared" si="0"/>
        <v>0.99999999999999989</v>
      </c>
    </row>
    <row r="46" spans="1:6" x14ac:dyDescent="0.2">
      <c r="A46" t="s">
        <v>38</v>
      </c>
      <c r="B46" t="s">
        <v>31</v>
      </c>
      <c r="C46" s="1">
        <f>Activity_Counts!D46/(Activity_Counts!D46+Activity_Counts!K46+5)</f>
        <v>0.28915662650602408</v>
      </c>
      <c r="D46" s="1">
        <f>Activity_Counts!K46/(Activity_Counts!D46+Activity_Counts!K46+5)</f>
        <v>0.6506024096385542</v>
      </c>
      <c r="E46" s="1">
        <f>5/(Activity_Counts!D46+Activity_Counts!K46+5)</f>
        <v>6.0240963855421686E-2</v>
      </c>
      <c r="F46" s="1">
        <f t="shared" si="0"/>
        <v>0.99999999999999989</v>
      </c>
    </row>
    <row r="47" spans="1:6" x14ac:dyDescent="0.2">
      <c r="A47" t="s">
        <v>39</v>
      </c>
      <c r="B47" t="s">
        <v>30</v>
      </c>
      <c r="C47" s="1">
        <f>Activity_Counts!D47/(Activity_Counts!D47+Activity_Counts!K47+5)</f>
        <v>0.23529411764705882</v>
      </c>
      <c r="D47" s="1">
        <f>Activity_Counts!K47/(Activity_Counts!D47+Activity_Counts!K47+5)</f>
        <v>0.71568627450980393</v>
      </c>
      <c r="E47" s="1">
        <f>5/(Activity_Counts!D47+Activity_Counts!K47+5)</f>
        <v>4.9019607843137254E-2</v>
      </c>
      <c r="F47" s="1">
        <f t="shared" si="0"/>
        <v>1</v>
      </c>
    </row>
    <row r="48" spans="1:6" x14ac:dyDescent="0.2">
      <c r="A48" t="s">
        <v>39</v>
      </c>
      <c r="B48" t="s">
        <v>31</v>
      </c>
      <c r="C48" s="1">
        <f>Activity_Counts!D48/(Activity_Counts!D48+Activity_Counts!K48+5)</f>
        <v>0.23529411764705882</v>
      </c>
      <c r="D48" s="1">
        <f>Activity_Counts!K48/(Activity_Counts!D48+Activity_Counts!K48+5)</f>
        <v>0.71568627450980393</v>
      </c>
      <c r="E48" s="1">
        <f>5/(Activity_Counts!D48+Activity_Counts!K48+5)</f>
        <v>4.9019607843137254E-2</v>
      </c>
      <c r="F48" s="1">
        <f t="shared" si="0"/>
        <v>1</v>
      </c>
    </row>
    <row r="49" spans="1:6" x14ac:dyDescent="0.2">
      <c r="A49" t="s">
        <v>40</v>
      </c>
      <c r="B49" t="s">
        <v>30</v>
      </c>
      <c r="C49" s="1">
        <f>Activity_Counts!D49/(Activity_Counts!D49+Activity_Counts!K49+5)</f>
        <v>0.19298245614035087</v>
      </c>
      <c r="D49" s="1">
        <f>Activity_Counts!K49/(Activity_Counts!D49+Activity_Counts!K49+5)</f>
        <v>0.7192982456140351</v>
      </c>
      <c r="E49" s="1">
        <f>5/(Activity_Counts!D49+Activity_Counts!K49+5)</f>
        <v>8.771929824561403E-2</v>
      </c>
      <c r="F49" s="1">
        <f t="shared" si="0"/>
        <v>1</v>
      </c>
    </row>
    <row r="50" spans="1:6" x14ac:dyDescent="0.2">
      <c r="A50" t="s">
        <v>40</v>
      </c>
      <c r="B50" t="s">
        <v>31</v>
      </c>
      <c r="C50" s="1">
        <f>Activity_Counts!D50/(Activity_Counts!D50+Activity_Counts!K50+5)</f>
        <v>0.30769230769230771</v>
      </c>
      <c r="D50" s="1">
        <f>Activity_Counts!K50/(Activity_Counts!D50+Activity_Counts!K50+5)</f>
        <v>0.61538461538461542</v>
      </c>
      <c r="E50" s="1">
        <f>5/(Activity_Counts!D50+Activity_Counts!K50+5)</f>
        <v>7.6923076923076927E-2</v>
      </c>
      <c r="F50" s="1">
        <f t="shared" si="0"/>
        <v>1</v>
      </c>
    </row>
    <row r="51" spans="1:6" x14ac:dyDescent="0.2">
      <c r="A51" t="s">
        <v>41</v>
      </c>
      <c r="B51" t="s">
        <v>30</v>
      </c>
      <c r="C51" s="1">
        <f>Activity_Counts!D51/(Activity_Counts!D51+Activity_Counts!K51+5)</f>
        <v>0</v>
      </c>
      <c r="D51" s="1">
        <f>Activity_Counts!K51/(Activity_Counts!D51+Activity_Counts!K51+5)</f>
        <v>0.81481481481481477</v>
      </c>
      <c r="E51" s="1">
        <f>5/(Activity_Counts!D51+Activity_Counts!K51+5)</f>
        <v>0.18518518518518517</v>
      </c>
      <c r="F51" s="1">
        <f t="shared" si="0"/>
        <v>1</v>
      </c>
    </row>
    <row r="52" spans="1:6" x14ac:dyDescent="0.2">
      <c r="A52" t="s">
        <v>41</v>
      </c>
      <c r="B52" t="s">
        <v>31</v>
      </c>
      <c r="C52" s="1">
        <f>Activity_Counts!D52/(Activity_Counts!D52+Activity_Counts!K52+5)</f>
        <v>0</v>
      </c>
      <c r="D52" s="1">
        <f>Activity_Counts!K52/(Activity_Counts!D52+Activity_Counts!K52+5)</f>
        <v>0.73684210526315785</v>
      </c>
      <c r="E52" s="1">
        <f>5/(Activity_Counts!D52+Activity_Counts!K52+5)</f>
        <v>0.26315789473684209</v>
      </c>
      <c r="F52" s="1">
        <f t="shared" si="0"/>
        <v>1</v>
      </c>
    </row>
    <row r="53" spans="1:6" x14ac:dyDescent="0.2">
      <c r="A53" t="s">
        <v>42</v>
      </c>
      <c r="B53" t="s">
        <v>43</v>
      </c>
      <c r="C53" s="1">
        <f>Activity_Counts!D53/(Activity_Counts!D53+Activity_Counts!K53+5)</f>
        <v>0</v>
      </c>
      <c r="D53" s="1">
        <f>Activity_Counts!K53/(Activity_Counts!D53+Activity_Counts!K53+5)</f>
        <v>0.82758620689655171</v>
      </c>
      <c r="E53" s="1">
        <f>5/(Activity_Counts!D53+Activity_Counts!K53+5)</f>
        <v>0.17241379310344829</v>
      </c>
      <c r="F53" s="1">
        <f t="shared" si="0"/>
        <v>1</v>
      </c>
    </row>
    <row r="54" spans="1:6" x14ac:dyDescent="0.2">
      <c r="A54" t="s">
        <v>42</v>
      </c>
      <c r="B54" t="s">
        <v>44</v>
      </c>
      <c r="C54" s="1">
        <f>Activity_Counts!D54/(Activity_Counts!D54+Activity_Counts!K54+5)</f>
        <v>0</v>
      </c>
      <c r="D54" s="1">
        <f>Activity_Counts!K54/(Activity_Counts!D54+Activity_Counts!K54+5)</f>
        <v>0.82758620689655171</v>
      </c>
      <c r="E54" s="1">
        <f>5/(Activity_Counts!D54+Activity_Counts!K54+5)</f>
        <v>0.17241379310344829</v>
      </c>
      <c r="F54" s="1">
        <f t="shared" si="0"/>
        <v>1</v>
      </c>
    </row>
    <row r="55" spans="1:6" x14ac:dyDescent="0.2">
      <c r="A55" t="s">
        <v>46</v>
      </c>
      <c r="B55" t="s">
        <v>30</v>
      </c>
      <c r="C55" s="1">
        <f>Activity_Counts!D55/(Activity_Counts!D55+Activity_Counts!K55+5)</f>
        <v>0</v>
      </c>
      <c r="D55" s="1">
        <f>Activity_Counts!K55/(Activity_Counts!D55+Activity_Counts!K55+5)</f>
        <v>0</v>
      </c>
      <c r="E55" s="1">
        <f>5/(Activity_Counts!D55+Activity_Counts!K55+5)</f>
        <v>1</v>
      </c>
      <c r="F55" s="1">
        <f t="shared" si="0"/>
        <v>1</v>
      </c>
    </row>
    <row r="56" spans="1:6" x14ac:dyDescent="0.2">
      <c r="A56" t="s">
        <v>47</v>
      </c>
      <c r="B56" t="s">
        <v>30</v>
      </c>
      <c r="C56" s="1">
        <f>Activity_Counts!D56/(Activity_Counts!D56+Activity_Counts!K56+5)</f>
        <v>0</v>
      </c>
      <c r="D56" s="1">
        <f>Activity_Counts!K56/(Activity_Counts!D56+Activity_Counts!K56+5)</f>
        <v>0</v>
      </c>
      <c r="E56" s="1">
        <f>5/(Activity_Counts!D56+Activity_Counts!K56+5)</f>
        <v>1</v>
      </c>
      <c r="F56" s="1">
        <f t="shared" si="0"/>
        <v>1</v>
      </c>
    </row>
    <row r="57" spans="1:6" x14ac:dyDescent="0.2">
      <c r="A57" t="s">
        <v>48</v>
      </c>
      <c r="B57" t="s">
        <v>31</v>
      </c>
      <c r="C57" s="1">
        <f>Activity_Counts!D57/(Activity_Counts!D57+Activity_Counts!K57+5)</f>
        <v>0</v>
      </c>
      <c r="D57" s="1">
        <f>Activity_Counts!K57/(Activity_Counts!D57+Activity_Counts!K57+5)</f>
        <v>0</v>
      </c>
      <c r="E57" s="1">
        <f>5/(Activity_Counts!D57+Activity_Counts!K57+5)</f>
        <v>1</v>
      </c>
      <c r="F57" s="1">
        <f t="shared" si="0"/>
        <v>1</v>
      </c>
    </row>
    <row r="58" spans="1:6" x14ac:dyDescent="0.2">
      <c r="A58" t="s">
        <v>48</v>
      </c>
      <c r="B58" t="s">
        <v>30</v>
      </c>
      <c r="C58" s="1">
        <f>Activity_Counts!D58/(Activity_Counts!D58+Activity_Counts!K58+5)</f>
        <v>0</v>
      </c>
      <c r="D58" s="1">
        <f>Activity_Counts!K58/(Activity_Counts!D58+Activity_Counts!K58+5)</f>
        <v>0</v>
      </c>
      <c r="E58" s="1">
        <f>5/(Activity_Counts!D58+Activity_Counts!K58+5)</f>
        <v>1</v>
      </c>
      <c r="F58" s="1">
        <f t="shared" si="0"/>
        <v>1</v>
      </c>
    </row>
    <row r="59" spans="1:6" x14ac:dyDescent="0.2">
      <c r="A59" t="s">
        <v>49</v>
      </c>
      <c r="B59" t="s">
        <v>20</v>
      </c>
      <c r="C59" s="1">
        <f>Activity_Counts!D59/(Activity_Counts!D59+Activity_Counts!K59+5)</f>
        <v>0</v>
      </c>
      <c r="D59" s="1">
        <f>Activity_Counts!K59/(Activity_Counts!D59+Activity_Counts!K59+5)</f>
        <v>0</v>
      </c>
      <c r="E59" s="1">
        <f>5/(Activity_Counts!D59+Activity_Counts!K59+5)</f>
        <v>1</v>
      </c>
      <c r="F59" s="1">
        <f t="shared" si="0"/>
        <v>1</v>
      </c>
    </row>
    <row r="60" spans="1:6" x14ac:dyDescent="0.2">
      <c r="A60" t="s">
        <v>49</v>
      </c>
      <c r="B60" t="s">
        <v>21</v>
      </c>
      <c r="C60" s="1">
        <f>Activity_Counts!D60/(Activity_Counts!D60+Activity_Counts!K60+5)</f>
        <v>0</v>
      </c>
      <c r="D60" s="1">
        <f>Activity_Counts!K60/(Activity_Counts!D60+Activity_Counts!K60+5)</f>
        <v>0</v>
      </c>
      <c r="E60" s="1">
        <f>5/(Activity_Counts!D60+Activity_Counts!K60+5)</f>
        <v>1</v>
      </c>
      <c r="F60" s="1">
        <f t="shared" si="0"/>
        <v>1</v>
      </c>
    </row>
    <row r="61" spans="1:6" x14ac:dyDescent="0.2">
      <c r="A61" t="s">
        <v>50</v>
      </c>
      <c r="B61" t="s">
        <v>31</v>
      </c>
      <c r="C61" s="1">
        <f>Activity_Counts!D61/(Activity_Counts!D61+Activity_Counts!K61+5)</f>
        <v>0</v>
      </c>
      <c r="D61" s="1">
        <f>Activity_Counts!K61/(Activity_Counts!D61+Activity_Counts!K61+5)</f>
        <v>0</v>
      </c>
      <c r="E61" s="1">
        <f>5/(Activity_Counts!D61+Activity_Counts!K61+5)</f>
        <v>1</v>
      </c>
      <c r="F61" s="1">
        <f t="shared" si="0"/>
        <v>1</v>
      </c>
    </row>
    <row r="62" spans="1:6" x14ac:dyDescent="0.2">
      <c r="A62" t="s">
        <v>50</v>
      </c>
      <c r="B62" t="s">
        <v>30</v>
      </c>
      <c r="C62" s="1">
        <f>Activity_Counts!D62/(Activity_Counts!D62+Activity_Counts!K62+5)</f>
        <v>0</v>
      </c>
      <c r="D62" s="1">
        <f>Activity_Counts!K62/(Activity_Counts!D62+Activity_Counts!K62+5)</f>
        <v>0</v>
      </c>
      <c r="E62" s="1">
        <f>5/(Activity_Counts!D62+Activity_Counts!K62+5)</f>
        <v>1</v>
      </c>
      <c r="F62" s="1">
        <f t="shared" si="0"/>
        <v>1</v>
      </c>
    </row>
    <row r="63" spans="1:6" x14ac:dyDescent="0.2">
      <c r="A63" t="s">
        <v>59</v>
      </c>
      <c r="B63" t="s">
        <v>60</v>
      </c>
      <c r="C63" s="1">
        <f>Activity_Counts!D63/(Activity_Counts!D63+Activity_Counts!K63+5)</f>
        <v>0</v>
      </c>
      <c r="D63" s="1">
        <f>Activity_Counts!K63/(Activity_Counts!D63+Activity_Counts!K63+5)</f>
        <v>0</v>
      </c>
      <c r="E63" s="1">
        <f>5/(Activity_Counts!D63+Activity_Counts!K63+5)</f>
        <v>1</v>
      </c>
      <c r="F63" s="1">
        <f t="shared" si="0"/>
        <v>1</v>
      </c>
    </row>
    <row r="64" spans="1:6" x14ac:dyDescent="0.2">
      <c r="A64" t="s">
        <v>59</v>
      </c>
      <c r="B64" t="s">
        <v>61</v>
      </c>
      <c r="C64" s="1">
        <f>Activity_Counts!D64/(Activity_Counts!D64+Activity_Counts!K64+5)</f>
        <v>0</v>
      </c>
      <c r="D64" s="1">
        <f>Activity_Counts!K64/(Activity_Counts!D64+Activity_Counts!K64+5)</f>
        <v>0</v>
      </c>
      <c r="E64" s="1">
        <f>5/(Activity_Counts!D64+Activity_Counts!K64+5)</f>
        <v>1</v>
      </c>
      <c r="F64" s="1">
        <f t="shared" si="0"/>
        <v>1</v>
      </c>
    </row>
    <row r="65" spans="1:6" x14ac:dyDescent="0.2">
      <c r="A65" t="s">
        <v>59</v>
      </c>
      <c r="B65" t="s">
        <v>62</v>
      </c>
      <c r="C65" s="1">
        <f>Activity_Counts!D65/(Activity_Counts!D65+Activity_Counts!K65+5)</f>
        <v>0</v>
      </c>
      <c r="D65" s="1">
        <f>Activity_Counts!K65/(Activity_Counts!D65+Activity_Counts!K65+5)</f>
        <v>0</v>
      </c>
      <c r="E65" s="1">
        <f>5/(Activity_Counts!D65+Activity_Counts!K65+5)</f>
        <v>1</v>
      </c>
      <c r="F65" s="1">
        <f t="shared" ref="F65:F67" si="1">SUM(C65:E65)</f>
        <v>1</v>
      </c>
    </row>
    <row r="66" spans="1:6" x14ac:dyDescent="0.2">
      <c r="A66" t="s">
        <v>59</v>
      </c>
      <c r="B66" t="s">
        <v>63</v>
      </c>
      <c r="C66" s="1">
        <f>Activity_Counts!D66/(Activity_Counts!D66+Activity_Counts!K66+5)</f>
        <v>0</v>
      </c>
      <c r="D66" s="1">
        <f>Activity_Counts!K66/(Activity_Counts!D66+Activity_Counts!K66+5)</f>
        <v>0</v>
      </c>
      <c r="E66" s="1">
        <f>5/(Activity_Counts!D66+Activity_Counts!K66+5)</f>
        <v>1</v>
      </c>
      <c r="F66" s="1">
        <f t="shared" si="1"/>
        <v>1</v>
      </c>
    </row>
    <row r="67" spans="1:6" x14ac:dyDescent="0.2">
      <c r="A67" t="s">
        <v>59</v>
      </c>
      <c r="B67" t="s">
        <v>64</v>
      </c>
      <c r="C67" s="1">
        <f>Activity_Counts!D67/(Activity_Counts!D67+Activity_Counts!K67+5)</f>
        <v>0</v>
      </c>
      <c r="D67" s="1">
        <f>Activity_Counts!K67/(Activity_Counts!D67+Activity_Counts!K67+5)</f>
        <v>0</v>
      </c>
      <c r="E67" s="1">
        <f>5/(Activity_Counts!D67+Activity_Counts!K67+5)</f>
        <v>1</v>
      </c>
      <c r="F67" s="1">
        <f t="shared" si="1"/>
        <v>1</v>
      </c>
    </row>
    <row r="68" spans="1:6" x14ac:dyDescent="0.2">
      <c r="C68" s="1"/>
      <c r="D68" s="1"/>
      <c r="E68" s="1"/>
      <c r="F68" s="1"/>
    </row>
    <row r="69" spans="1:6" x14ac:dyDescent="0.2">
      <c r="C69" s="1"/>
      <c r="D69" s="1"/>
      <c r="E69" s="1"/>
      <c r="F69" s="1"/>
    </row>
    <row r="70" spans="1:6" x14ac:dyDescent="0.2">
      <c r="C70" s="1"/>
      <c r="D70" s="1"/>
      <c r="E70" s="1"/>
      <c r="F70" s="1"/>
    </row>
    <row r="71" spans="1:6" x14ac:dyDescent="0.2">
      <c r="C71" s="1"/>
      <c r="D71" s="1"/>
      <c r="E71" s="1"/>
      <c r="F71" s="1"/>
    </row>
    <row r="72" spans="1:6" x14ac:dyDescent="0.2">
      <c r="C72" s="1"/>
      <c r="D72" s="1"/>
      <c r="E72" s="1"/>
      <c r="F72" s="1"/>
    </row>
    <row r="73" spans="1:6" x14ac:dyDescent="0.2">
      <c r="C73" s="1"/>
      <c r="D73" s="1"/>
      <c r="E73" s="1"/>
      <c r="F73" s="1"/>
    </row>
    <row r="74" spans="1:6" x14ac:dyDescent="0.2">
      <c r="C74" s="1"/>
      <c r="D74" s="1"/>
      <c r="E74" s="1"/>
      <c r="F74" s="1"/>
    </row>
    <row r="75" spans="1:6" x14ac:dyDescent="0.2">
      <c r="C75" s="1"/>
      <c r="D75" s="1"/>
      <c r="E75" s="1"/>
      <c r="F75" s="1"/>
    </row>
    <row r="76" spans="1:6" x14ac:dyDescent="0.2">
      <c r="C76" s="1"/>
      <c r="D76" s="1"/>
      <c r="E76" s="1"/>
      <c r="F76" s="1"/>
    </row>
    <row r="77" spans="1:6" x14ac:dyDescent="0.2">
      <c r="C77" s="1"/>
      <c r="D77" s="1"/>
      <c r="E77" s="1"/>
      <c r="F77" s="1"/>
    </row>
    <row r="78" spans="1:6" x14ac:dyDescent="0.2">
      <c r="C78" s="1"/>
      <c r="D78" s="1"/>
      <c r="E78" s="1"/>
      <c r="F78" s="1"/>
    </row>
    <row r="79" spans="1:6" x14ac:dyDescent="0.2">
      <c r="C79" s="1"/>
      <c r="D79" s="1"/>
      <c r="E79" s="1"/>
      <c r="F79" s="1"/>
    </row>
    <row r="80" spans="1:6" x14ac:dyDescent="0.2">
      <c r="C80" s="1"/>
      <c r="D80" s="1"/>
      <c r="E80" s="1"/>
      <c r="F80" s="1"/>
    </row>
    <row r="81" spans="3:6" x14ac:dyDescent="0.2">
      <c r="C81" s="1"/>
      <c r="D81" s="1"/>
      <c r="E81" s="1"/>
      <c r="F81" s="1"/>
    </row>
    <row r="82" spans="3:6" x14ac:dyDescent="0.2">
      <c r="C82" s="1"/>
      <c r="D82" s="1"/>
      <c r="E82" s="1"/>
      <c r="F82" s="1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0F77-E825-8643-A5E3-D2B8699C7BAF}">
  <dimension ref="A1:I67"/>
  <sheetViews>
    <sheetView tabSelected="1" zoomScale="156" zoomScaleNormal="156" workbookViewId="0">
      <selection activeCell="C7" sqref="C7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2.1640625" bestFit="1" customWidth="1"/>
    <col min="4" max="4" width="16" bestFit="1" customWidth="1"/>
    <col min="5" max="5" width="13.1640625" bestFit="1" customWidth="1"/>
    <col min="6" max="6" width="13.5" bestFit="1" customWidth="1"/>
    <col min="8" max="8" width="15.5" bestFit="1" customWidth="1"/>
    <col min="9" max="9" width="18.1640625" bestFit="1" customWidth="1"/>
    <col min="10" max="10" width="20.1640625" bestFit="1" customWidth="1"/>
  </cols>
  <sheetData>
    <row r="1" spans="1:9" ht="17" x14ac:dyDescent="0.25">
      <c r="A1" t="s">
        <v>0</v>
      </c>
      <c r="B1" t="s">
        <v>1</v>
      </c>
      <c r="C1" s="1" t="s">
        <v>51</v>
      </c>
      <c r="D1" t="s">
        <v>52</v>
      </c>
      <c r="E1" t="s">
        <v>53</v>
      </c>
      <c r="F1" t="s">
        <v>7</v>
      </c>
      <c r="I1" s="2"/>
    </row>
    <row r="2" spans="1:9" x14ac:dyDescent="0.2">
      <c r="A2" t="s">
        <v>13</v>
      </c>
      <c r="B2" t="s">
        <v>45</v>
      </c>
      <c r="C2">
        <f>Activity_Counts!C2/(Activity_Counts!C2+Activity_Counts!J2+5)</f>
        <v>0</v>
      </c>
      <c r="D2">
        <f>Activity_Counts!J2/(Activity_Counts!C2+Activity_Counts!J2+5)</f>
        <v>0.84848484848484851</v>
      </c>
      <c r="E2">
        <f>5/(Activity_Counts!C2+Activity_Counts!J2+5)</f>
        <v>0.15151515151515152</v>
      </c>
      <c r="F2">
        <f t="shared" ref="F2:F63" si="0">SUM(C2:E2)</f>
        <v>1</v>
      </c>
    </row>
    <row r="3" spans="1:9" x14ac:dyDescent="0.2">
      <c r="A3" s="1" t="s">
        <v>14</v>
      </c>
      <c r="B3" s="1" t="s">
        <v>54</v>
      </c>
      <c r="C3">
        <f>Activity_Counts!C3/(Activity_Counts!C3+Activity_Counts!J3+5)</f>
        <v>0</v>
      </c>
      <c r="D3">
        <f>Activity_Counts!J3/(Activity_Counts!C3+Activity_Counts!J3+5)</f>
        <v>0.6428571428571429</v>
      </c>
      <c r="E3">
        <f>5/(Activity_Counts!C3+Activity_Counts!J3+5)</f>
        <v>0.35714285714285715</v>
      </c>
      <c r="F3">
        <f t="shared" si="0"/>
        <v>1</v>
      </c>
    </row>
    <row r="4" spans="1:9" x14ac:dyDescent="0.2">
      <c r="A4" s="1" t="s">
        <v>14</v>
      </c>
      <c r="B4" s="1" t="s">
        <v>55</v>
      </c>
      <c r="C4">
        <f>Activity_Counts!C4/(Activity_Counts!C4+Activity_Counts!J4+5)</f>
        <v>0</v>
      </c>
      <c r="D4">
        <f>Activity_Counts!J4/(Activity_Counts!C4+Activity_Counts!J4+5)</f>
        <v>0.77272727272727271</v>
      </c>
      <c r="E4">
        <f>5/(Activity_Counts!C4+Activity_Counts!J4+5)</f>
        <v>0.22727272727272727</v>
      </c>
      <c r="F4">
        <f t="shared" si="0"/>
        <v>1</v>
      </c>
    </row>
    <row r="5" spans="1:9" x14ac:dyDescent="0.2">
      <c r="A5" s="1" t="s">
        <v>14</v>
      </c>
      <c r="B5" s="1" t="s">
        <v>56</v>
      </c>
      <c r="C5">
        <f>Activity_Counts!C5/(Activity_Counts!C5+Activity_Counts!J5+5)</f>
        <v>0</v>
      </c>
      <c r="D5">
        <f>Activity_Counts!J5/(Activity_Counts!C5+Activity_Counts!J5+5)</f>
        <v>0.78260869565217395</v>
      </c>
      <c r="E5">
        <f>5/(Activity_Counts!C5+Activity_Counts!J5+5)</f>
        <v>0.21739130434782608</v>
      </c>
      <c r="F5">
        <f t="shared" si="0"/>
        <v>1</v>
      </c>
    </row>
    <row r="6" spans="1:9" x14ac:dyDescent="0.2">
      <c r="A6" s="1" t="s">
        <v>14</v>
      </c>
      <c r="B6" s="1" t="s">
        <v>57</v>
      </c>
      <c r="C6">
        <f>Activity_Counts!C6/(Activity_Counts!C6+Activity_Counts!J6+5)</f>
        <v>0</v>
      </c>
      <c r="D6">
        <f>Activity_Counts!J6/(Activity_Counts!C6+Activity_Counts!J6+5)</f>
        <v>0.16666666666666666</v>
      </c>
      <c r="E6">
        <f>5/(Activity_Counts!C6+Activity_Counts!J6+5)</f>
        <v>0.83333333333333337</v>
      </c>
      <c r="F6">
        <f t="shared" si="0"/>
        <v>1</v>
      </c>
    </row>
    <row r="7" spans="1:9" x14ac:dyDescent="0.2">
      <c r="A7" s="1" t="s">
        <v>14</v>
      </c>
      <c r="B7" s="1" t="s">
        <v>58</v>
      </c>
      <c r="C7">
        <f>Activity_Counts!C7/(Activity_Counts!C7+Activity_Counts!J7+5)</f>
        <v>0</v>
      </c>
      <c r="D7">
        <f>Activity_Counts!J7/(Activity_Counts!C7+Activity_Counts!J7+5)</f>
        <v>0.8529411764705882</v>
      </c>
      <c r="E7">
        <f>5/(Activity_Counts!C7+Activity_Counts!J7+5)</f>
        <v>0.14705882352941177</v>
      </c>
      <c r="F7">
        <f t="shared" si="0"/>
        <v>1</v>
      </c>
    </row>
    <row r="8" spans="1:9" x14ac:dyDescent="0.2">
      <c r="A8" t="s">
        <v>15</v>
      </c>
      <c r="B8" t="s">
        <v>54</v>
      </c>
      <c r="C8">
        <f>Activity_Counts!C8/(Activity_Counts!C8+Activity_Counts!J8+5)</f>
        <v>0</v>
      </c>
      <c r="D8">
        <f>Activity_Counts!J8/(Activity_Counts!C8+Activity_Counts!J8+5)</f>
        <v>0.61538461538461542</v>
      </c>
      <c r="E8">
        <f>5/(Activity_Counts!C8+Activity_Counts!J8+5)</f>
        <v>0.38461538461538464</v>
      </c>
      <c r="F8">
        <f t="shared" si="0"/>
        <v>1</v>
      </c>
    </row>
    <row r="9" spans="1:9" ht="17" customHeight="1" x14ac:dyDescent="0.2">
      <c r="A9" t="s">
        <v>15</v>
      </c>
      <c r="B9" t="s">
        <v>55</v>
      </c>
      <c r="C9">
        <f>Activity_Counts!C9/(Activity_Counts!C9+Activity_Counts!J9+5)</f>
        <v>0</v>
      </c>
      <c r="D9">
        <f>Activity_Counts!J9/(Activity_Counts!C9+Activity_Counts!J9+5)</f>
        <v>0.83870967741935487</v>
      </c>
      <c r="E9">
        <f>5/(Activity_Counts!C9+Activity_Counts!J9+5)</f>
        <v>0.16129032258064516</v>
      </c>
      <c r="F9">
        <f t="shared" si="0"/>
        <v>1</v>
      </c>
    </row>
    <row r="10" spans="1:9" x14ac:dyDescent="0.2">
      <c r="A10" t="s">
        <v>15</v>
      </c>
      <c r="B10" t="s">
        <v>56</v>
      </c>
      <c r="C10">
        <f>Activity_Counts!C10/(Activity_Counts!C10+Activity_Counts!J10+5)</f>
        <v>0</v>
      </c>
      <c r="D10">
        <f>Activity_Counts!J10/(Activity_Counts!C10+Activity_Counts!J10+5)</f>
        <v>0.5</v>
      </c>
      <c r="E10">
        <f>5/(Activity_Counts!C10+Activity_Counts!J10+5)</f>
        <v>0.5</v>
      </c>
      <c r="F10">
        <f t="shared" si="0"/>
        <v>1</v>
      </c>
    </row>
    <row r="11" spans="1:9" x14ac:dyDescent="0.2">
      <c r="A11" t="s">
        <v>15</v>
      </c>
      <c r="B11" t="s">
        <v>57</v>
      </c>
      <c r="C11">
        <f>Activity_Counts!C11/(Activity_Counts!C11+Activity_Counts!J11+5)</f>
        <v>0</v>
      </c>
      <c r="D11">
        <f>Activity_Counts!J11/(Activity_Counts!C11+Activity_Counts!J11+5)</f>
        <v>0.2857142857142857</v>
      </c>
      <c r="E11">
        <f>5/(Activity_Counts!C11+Activity_Counts!J11+5)</f>
        <v>0.7142857142857143</v>
      </c>
      <c r="F11">
        <f t="shared" si="0"/>
        <v>1</v>
      </c>
    </row>
    <row r="12" spans="1:9" x14ac:dyDescent="0.2">
      <c r="A12" t="s">
        <v>15</v>
      </c>
      <c r="B12" t="s">
        <v>58</v>
      </c>
      <c r="C12">
        <f>Activity_Counts!C12/(Activity_Counts!C12+Activity_Counts!J12+5)</f>
        <v>0</v>
      </c>
      <c r="D12">
        <f>Activity_Counts!J12/(Activity_Counts!C12+Activity_Counts!J12+5)</f>
        <v>0.6428571428571429</v>
      </c>
      <c r="E12">
        <f>5/(Activity_Counts!C12+Activity_Counts!J12+5)</f>
        <v>0.35714285714285715</v>
      </c>
      <c r="F12">
        <f t="shared" si="0"/>
        <v>1</v>
      </c>
    </row>
    <row r="13" spans="1:9" x14ac:dyDescent="0.2">
      <c r="A13" t="s">
        <v>16</v>
      </c>
      <c r="B13" t="s">
        <v>17</v>
      </c>
      <c r="C13">
        <f>Activity_Counts!C13/(Activity_Counts!C13+Activity_Counts!J13+5)</f>
        <v>0</v>
      </c>
      <c r="D13">
        <f>Activity_Counts!J13/(Activity_Counts!C13+Activity_Counts!J13+5)</f>
        <v>0.93333333333333335</v>
      </c>
      <c r="E13">
        <f>5/(Activity_Counts!C13+Activity_Counts!J13+5)</f>
        <v>6.6666666666666666E-2</v>
      </c>
      <c r="F13">
        <f t="shared" si="0"/>
        <v>1</v>
      </c>
    </row>
    <row r="14" spans="1:9" x14ac:dyDescent="0.2">
      <c r="A14" t="s">
        <v>16</v>
      </c>
      <c r="B14" t="s">
        <v>18</v>
      </c>
      <c r="C14">
        <f>Activity_Counts!C14/(Activity_Counts!C14+Activity_Counts!J14+5)</f>
        <v>0</v>
      </c>
      <c r="D14">
        <f>Activity_Counts!J14/(Activity_Counts!C14+Activity_Counts!J14+5)</f>
        <v>0.93333333333333335</v>
      </c>
      <c r="E14">
        <f>5/(Activity_Counts!C14+Activity_Counts!J14+5)</f>
        <v>6.6666666666666666E-2</v>
      </c>
      <c r="F14">
        <f t="shared" si="0"/>
        <v>1</v>
      </c>
    </row>
    <row r="15" spans="1:9" x14ac:dyDescent="0.2">
      <c r="A15" t="s">
        <v>19</v>
      </c>
      <c r="B15" t="s">
        <v>20</v>
      </c>
      <c r="C15">
        <f>Activity_Counts!C15/(Activity_Counts!C15+Activity_Counts!J15+5)</f>
        <v>0</v>
      </c>
      <c r="D15">
        <f>Activity_Counts!J15/(Activity_Counts!C15+Activity_Counts!J15+5)</f>
        <v>0.84375</v>
      </c>
      <c r="E15">
        <f>5/(Activity_Counts!C15+Activity_Counts!J15+5)</f>
        <v>0.15625</v>
      </c>
      <c r="F15">
        <f t="shared" si="0"/>
        <v>1</v>
      </c>
    </row>
    <row r="16" spans="1:9" x14ac:dyDescent="0.2">
      <c r="A16" t="s">
        <v>19</v>
      </c>
      <c r="B16" t="s">
        <v>21</v>
      </c>
      <c r="C16">
        <f>Activity_Counts!C16/(Activity_Counts!C16+Activity_Counts!J16+5)</f>
        <v>0</v>
      </c>
      <c r="D16">
        <f>Activity_Counts!J16/(Activity_Counts!C16+Activity_Counts!J16+5)</f>
        <v>0.80769230769230771</v>
      </c>
      <c r="E16">
        <f>5/(Activity_Counts!C16+Activity_Counts!J16+5)</f>
        <v>0.19230769230769232</v>
      </c>
      <c r="F16">
        <f t="shared" si="0"/>
        <v>1</v>
      </c>
    </row>
    <row r="17" spans="1:6" x14ac:dyDescent="0.2">
      <c r="A17" t="s">
        <v>22</v>
      </c>
      <c r="B17" t="s">
        <v>20</v>
      </c>
      <c r="C17">
        <f>Activity_Counts!C17/(Activity_Counts!C17+Activity_Counts!J17+5)</f>
        <v>0</v>
      </c>
      <c r="D17">
        <f>Activity_Counts!J17/(Activity_Counts!C17+Activity_Counts!J17+5)</f>
        <v>0.82758620689655171</v>
      </c>
      <c r="E17">
        <f>5/(Activity_Counts!C17+Activity_Counts!J17+5)</f>
        <v>0.17241379310344829</v>
      </c>
      <c r="F17">
        <f t="shared" si="0"/>
        <v>1</v>
      </c>
    </row>
    <row r="18" spans="1:6" x14ac:dyDescent="0.2">
      <c r="A18" t="s">
        <v>22</v>
      </c>
      <c r="B18" t="s">
        <v>21</v>
      </c>
      <c r="C18">
        <f>Activity_Counts!C18/(Activity_Counts!C18+Activity_Counts!J18+5)</f>
        <v>0</v>
      </c>
      <c r="D18">
        <f>Activity_Counts!J18/(Activity_Counts!C18+Activity_Counts!J18+5)</f>
        <v>0.75</v>
      </c>
      <c r="E18">
        <f>5/(Activity_Counts!C18+Activity_Counts!J18+5)</f>
        <v>0.25</v>
      </c>
      <c r="F18">
        <f t="shared" si="0"/>
        <v>1</v>
      </c>
    </row>
    <row r="19" spans="1:6" x14ac:dyDescent="0.2">
      <c r="A19" t="s">
        <v>23</v>
      </c>
      <c r="B19" t="s">
        <v>20</v>
      </c>
      <c r="C19">
        <f>Activity_Counts!C19/(Activity_Counts!C19+Activity_Counts!J19+5)</f>
        <v>0</v>
      </c>
      <c r="D19">
        <f>Activity_Counts!J19/(Activity_Counts!C19+Activity_Counts!J19+5)</f>
        <v>0.875</v>
      </c>
      <c r="E19">
        <f>5/(Activity_Counts!C19+Activity_Counts!J19+5)</f>
        <v>0.125</v>
      </c>
      <c r="F19">
        <f t="shared" si="0"/>
        <v>1</v>
      </c>
    </row>
    <row r="20" spans="1:6" x14ac:dyDescent="0.2">
      <c r="A20" t="s">
        <v>23</v>
      </c>
      <c r="B20" t="s">
        <v>21</v>
      </c>
      <c r="C20">
        <f>Activity_Counts!C20/(Activity_Counts!C20+Activity_Counts!J20+5)</f>
        <v>0</v>
      </c>
      <c r="D20">
        <f>Activity_Counts!J20/(Activity_Counts!C20+Activity_Counts!J20+5)</f>
        <v>0.75</v>
      </c>
      <c r="E20">
        <f>5/(Activity_Counts!C20+Activity_Counts!J20+5)</f>
        <v>0.25</v>
      </c>
      <c r="F20">
        <f t="shared" si="0"/>
        <v>1</v>
      </c>
    </row>
    <row r="21" spans="1:6" x14ac:dyDescent="0.2">
      <c r="A21" t="s">
        <v>24</v>
      </c>
      <c r="B21" t="s">
        <v>20</v>
      </c>
      <c r="C21">
        <f>Activity_Counts!C21/(Activity_Counts!C21+Activity_Counts!J21+5)</f>
        <v>0</v>
      </c>
      <c r="D21">
        <f>Activity_Counts!J21/(Activity_Counts!C21+Activity_Counts!J21+5)</f>
        <v>0.83870967741935487</v>
      </c>
      <c r="E21">
        <f>5/(Activity_Counts!C21+Activity_Counts!J21+5)</f>
        <v>0.16129032258064516</v>
      </c>
      <c r="F21">
        <f t="shared" si="0"/>
        <v>1</v>
      </c>
    </row>
    <row r="22" spans="1:6" x14ac:dyDescent="0.2">
      <c r="A22" t="s">
        <v>24</v>
      </c>
      <c r="B22" t="s">
        <v>21</v>
      </c>
      <c r="C22">
        <f>Activity_Counts!C22/(Activity_Counts!C22+Activity_Counts!J22+5)</f>
        <v>0</v>
      </c>
      <c r="D22">
        <f>Activity_Counts!J22/(Activity_Counts!C22+Activity_Counts!J22+5)</f>
        <v>0.66666666666666663</v>
      </c>
      <c r="E22">
        <f>5/(Activity_Counts!C22+Activity_Counts!J22+5)</f>
        <v>0.33333333333333331</v>
      </c>
      <c r="F22">
        <f t="shared" si="0"/>
        <v>1</v>
      </c>
    </row>
    <row r="23" spans="1:6" x14ac:dyDescent="0.2">
      <c r="A23" t="s">
        <v>25</v>
      </c>
      <c r="B23" t="s">
        <v>20</v>
      </c>
      <c r="C23">
        <f>Activity_Counts!C23/(Activity_Counts!C23+Activity_Counts!J23+5)</f>
        <v>0</v>
      </c>
      <c r="D23">
        <f>Activity_Counts!J23/(Activity_Counts!C23+Activity_Counts!J23+5)</f>
        <v>0.83870967741935487</v>
      </c>
      <c r="E23">
        <f>5/(Activity_Counts!C23+Activity_Counts!J23+5)</f>
        <v>0.16129032258064516</v>
      </c>
      <c r="F23">
        <f t="shared" si="0"/>
        <v>1</v>
      </c>
    </row>
    <row r="24" spans="1:6" x14ac:dyDescent="0.2">
      <c r="A24" t="s">
        <v>25</v>
      </c>
      <c r="B24" t="s">
        <v>21</v>
      </c>
      <c r="C24">
        <f>Activity_Counts!C24/(Activity_Counts!C24+Activity_Counts!J24+5)</f>
        <v>0</v>
      </c>
      <c r="D24">
        <f>Activity_Counts!J24/(Activity_Counts!C24+Activity_Counts!J24+5)</f>
        <v>0.70588235294117652</v>
      </c>
      <c r="E24">
        <f>5/(Activity_Counts!C24+Activity_Counts!J24+5)</f>
        <v>0.29411764705882354</v>
      </c>
      <c r="F24">
        <f t="shared" si="0"/>
        <v>1</v>
      </c>
    </row>
    <row r="25" spans="1:6" x14ac:dyDescent="0.2">
      <c r="A25" t="s">
        <v>26</v>
      </c>
      <c r="B25" t="s">
        <v>20</v>
      </c>
      <c r="C25">
        <f>Activity_Counts!C25/(Activity_Counts!C25+Activity_Counts!J25+5)</f>
        <v>0</v>
      </c>
      <c r="D25">
        <f>Activity_Counts!J25/(Activity_Counts!C25+Activity_Counts!J25+5)</f>
        <v>0.83333333333333337</v>
      </c>
      <c r="E25">
        <f>5/(Activity_Counts!C25+Activity_Counts!J25+5)</f>
        <v>0.16666666666666666</v>
      </c>
      <c r="F25">
        <f t="shared" si="0"/>
        <v>1</v>
      </c>
    </row>
    <row r="26" spans="1:6" x14ac:dyDescent="0.2">
      <c r="A26" t="s">
        <v>26</v>
      </c>
      <c r="B26" t="s">
        <v>21</v>
      </c>
      <c r="C26">
        <f>Activity_Counts!C26/(Activity_Counts!C26+Activity_Counts!J26+5)</f>
        <v>0</v>
      </c>
      <c r="D26">
        <f>Activity_Counts!J26/(Activity_Counts!C26+Activity_Counts!J26+5)</f>
        <v>0.82758620689655171</v>
      </c>
      <c r="E26">
        <f>5/(Activity_Counts!C26+Activity_Counts!J26+5)</f>
        <v>0.17241379310344829</v>
      </c>
      <c r="F26">
        <f t="shared" si="0"/>
        <v>1</v>
      </c>
    </row>
    <row r="27" spans="1:6" x14ac:dyDescent="0.2">
      <c r="A27" t="s">
        <v>27</v>
      </c>
      <c r="B27" t="s">
        <v>20</v>
      </c>
      <c r="C27">
        <f>Activity_Counts!C27/(Activity_Counts!C27+Activity_Counts!J27+5)</f>
        <v>0</v>
      </c>
      <c r="D27">
        <f>Activity_Counts!J27/(Activity_Counts!C27+Activity_Counts!J27+5)</f>
        <v>0.83333333333333337</v>
      </c>
      <c r="E27">
        <f>5/(Activity_Counts!C27+Activity_Counts!J27+5)</f>
        <v>0.16666666666666666</v>
      </c>
      <c r="F27">
        <f t="shared" si="0"/>
        <v>1</v>
      </c>
    </row>
    <row r="28" spans="1:6" x14ac:dyDescent="0.2">
      <c r="A28" t="s">
        <v>27</v>
      </c>
      <c r="B28" t="s">
        <v>21</v>
      </c>
      <c r="C28">
        <f>Activity_Counts!C28/(Activity_Counts!C28+Activity_Counts!J28+5)</f>
        <v>0</v>
      </c>
      <c r="D28">
        <f>Activity_Counts!J28/(Activity_Counts!C28+Activity_Counts!J28+5)</f>
        <v>0.375</v>
      </c>
      <c r="E28">
        <f>5/(Activity_Counts!C28+Activity_Counts!J28+5)</f>
        <v>0.625</v>
      </c>
      <c r="F28">
        <f t="shared" si="0"/>
        <v>1</v>
      </c>
    </row>
    <row r="29" spans="1:6" x14ac:dyDescent="0.2">
      <c r="A29" t="s">
        <v>28</v>
      </c>
      <c r="B29" t="s">
        <v>20</v>
      </c>
      <c r="C29">
        <f>Activity_Counts!C29/(Activity_Counts!C29+Activity_Counts!J29+5)</f>
        <v>0.8214285714285714</v>
      </c>
      <c r="D29">
        <f>Activity_Counts!J29/(Activity_Counts!C29+Activity_Counts!J29+5)</f>
        <v>0</v>
      </c>
      <c r="E29">
        <f>5/(Activity_Counts!C29+Activity_Counts!J29+5)</f>
        <v>0.17857142857142858</v>
      </c>
      <c r="F29">
        <f t="shared" si="0"/>
        <v>1</v>
      </c>
    </row>
    <row r="30" spans="1:6" x14ac:dyDescent="0.2">
      <c r="A30" t="s">
        <v>28</v>
      </c>
      <c r="B30" t="s">
        <v>21</v>
      </c>
      <c r="C30">
        <f>Activity_Counts!C30/(Activity_Counts!C30+Activity_Counts!J30+5)</f>
        <v>0.38461538461538464</v>
      </c>
      <c r="D30">
        <f>Activity_Counts!J30/(Activity_Counts!C30+Activity_Counts!J30+5)</f>
        <v>0.23076923076923078</v>
      </c>
      <c r="E30">
        <f>5/(Activity_Counts!C30+Activity_Counts!J30+5)</f>
        <v>0.38461538461538464</v>
      </c>
      <c r="F30">
        <f t="shared" si="0"/>
        <v>1</v>
      </c>
    </row>
    <row r="31" spans="1:6" x14ac:dyDescent="0.2">
      <c r="A31" t="s">
        <v>29</v>
      </c>
      <c r="B31" t="s">
        <v>30</v>
      </c>
      <c r="C31">
        <f>Activity_Counts!C31/(Activity_Counts!C31+Activity_Counts!J31+5)</f>
        <v>0.82758620689655171</v>
      </c>
      <c r="D31">
        <f>Activity_Counts!J31/(Activity_Counts!C31+Activity_Counts!J31+5)</f>
        <v>0</v>
      </c>
      <c r="E31">
        <f>5/(Activity_Counts!C31+Activity_Counts!J31+5)</f>
        <v>0.17241379310344829</v>
      </c>
      <c r="F31">
        <f t="shared" si="0"/>
        <v>1</v>
      </c>
    </row>
    <row r="32" spans="1:6" x14ac:dyDescent="0.2">
      <c r="A32" t="s">
        <v>29</v>
      </c>
      <c r="B32" t="s">
        <v>31</v>
      </c>
      <c r="C32">
        <f>Activity_Counts!C32/(Activity_Counts!C32+Activity_Counts!J32+5)</f>
        <v>0.77272727272727271</v>
      </c>
      <c r="D32">
        <f>Activity_Counts!J32/(Activity_Counts!C32+Activity_Counts!J32+5)</f>
        <v>0</v>
      </c>
      <c r="E32">
        <f>5/(Activity_Counts!C32+Activity_Counts!J32+5)</f>
        <v>0.22727272727272727</v>
      </c>
      <c r="F32">
        <f t="shared" si="0"/>
        <v>1</v>
      </c>
    </row>
    <row r="33" spans="1:6" x14ac:dyDescent="0.2">
      <c r="A33" t="s">
        <v>32</v>
      </c>
      <c r="B33" t="s">
        <v>30</v>
      </c>
      <c r="C33">
        <f>Activity_Counts!C33/(Activity_Counts!C33+Activity_Counts!J33+5)</f>
        <v>0.8214285714285714</v>
      </c>
      <c r="D33">
        <f>Activity_Counts!J33/(Activity_Counts!C33+Activity_Counts!J33+5)</f>
        <v>0</v>
      </c>
      <c r="E33">
        <f>5/(Activity_Counts!C33+Activity_Counts!J33+5)</f>
        <v>0.17857142857142858</v>
      </c>
      <c r="F33">
        <f t="shared" si="0"/>
        <v>1</v>
      </c>
    </row>
    <row r="34" spans="1:6" x14ac:dyDescent="0.2">
      <c r="A34" t="s">
        <v>32</v>
      </c>
      <c r="B34" t="s">
        <v>31</v>
      </c>
      <c r="C34">
        <f>Activity_Counts!C34/(Activity_Counts!C34+Activity_Counts!J34+5)</f>
        <v>0.8214285714285714</v>
      </c>
      <c r="D34">
        <f>Activity_Counts!J34/(Activity_Counts!C34+Activity_Counts!J34+5)</f>
        <v>0</v>
      </c>
      <c r="E34">
        <f>5/(Activity_Counts!C34+Activity_Counts!J34+5)</f>
        <v>0.17857142857142858</v>
      </c>
      <c r="F34">
        <f t="shared" si="0"/>
        <v>1</v>
      </c>
    </row>
    <row r="35" spans="1:6" x14ac:dyDescent="0.2">
      <c r="A35" t="s">
        <v>33</v>
      </c>
      <c r="B35" t="s">
        <v>30</v>
      </c>
      <c r="C35">
        <f>Activity_Counts!C35/(Activity_Counts!C35+Activity_Counts!J35+5)</f>
        <v>0.82758620689655171</v>
      </c>
      <c r="D35">
        <f>Activity_Counts!J35/(Activity_Counts!C35+Activity_Counts!J35+5)</f>
        <v>0</v>
      </c>
      <c r="E35">
        <f>5/(Activity_Counts!C35+Activity_Counts!J35+5)</f>
        <v>0.17241379310344829</v>
      </c>
      <c r="F35">
        <f t="shared" si="0"/>
        <v>1</v>
      </c>
    </row>
    <row r="36" spans="1:6" x14ac:dyDescent="0.2">
      <c r="A36" t="s">
        <v>33</v>
      </c>
      <c r="B36" t="s">
        <v>31</v>
      </c>
      <c r="C36">
        <f>Activity_Counts!C36/(Activity_Counts!C36+Activity_Counts!J36+5)</f>
        <v>0.82758620689655171</v>
      </c>
      <c r="D36">
        <f>Activity_Counts!J36/(Activity_Counts!C36+Activity_Counts!J36+5)</f>
        <v>0</v>
      </c>
      <c r="E36">
        <f>5/(Activity_Counts!C36+Activity_Counts!J36+5)</f>
        <v>0.17241379310344829</v>
      </c>
      <c r="F36">
        <f t="shared" si="0"/>
        <v>1</v>
      </c>
    </row>
    <row r="37" spans="1:6" x14ac:dyDescent="0.2">
      <c r="A37" t="s">
        <v>34</v>
      </c>
      <c r="B37" t="s">
        <v>30</v>
      </c>
      <c r="C37">
        <f>Activity_Counts!C37/(Activity_Counts!C37+Activity_Counts!J37+5)</f>
        <v>0.79166666666666663</v>
      </c>
      <c r="D37">
        <f>Activity_Counts!J37/(Activity_Counts!C37+Activity_Counts!J37+5)</f>
        <v>0</v>
      </c>
      <c r="E37">
        <f>5/(Activity_Counts!C37+Activity_Counts!J37+5)</f>
        <v>0.20833333333333334</v>
      </c>
      <c r="F37">
        <f t="shared" si="0"/>
        <v>1</v>
      </c>
    </row>
    <row r="38" spans="1:6" x14ac:dyDescent="0.2">
      <c r="A38" t="s">
        <v>34</v>
      </c>
      <c r="B38" t="s">
        <v>31</v>
      </c>
      <c r="C38">
        <f>Activity_Counts!C38/(Activity_Counts!C38+Activity_Counts!J38+5)</f>
        <v>0.79166666666666663</v>
      </c>
      <c r="D38">
        <f>Activity_Counts!J38/(Activity_Counts!C38+Activity_Counts!J38+5)</f>
        <v>0</v>
      </c>
      <c r="E38">
        <f>5/(Activity_Counts!C38+Activity_Counts!J38+5)</f>
        <v>0.20833333333333334</v>
      </c>
      <c r="F38">
        <f t="shared" si="0"/>
        <v>1</v>
      </c>
    </row>
    <row r="39" spans="1:6" x14ac:dyDescent="0.2">
      <c r="A39" t="s">
        <v>35</v>
      </c>
      <c r="B39" t="s">
        <v>30</v>
      </c>
      <c r="C39">
        <f>Activity_Counts!C39/(Activity_Counts!C39+Activity_Counts!J39+5)</f>
        <v>0.24742268041237114</v>
      </c>
      <c r="D39">
        <f>Activity_Counts!J39/(Activity_Counts!C39+Activity_Counts!J39+5)</f>
        <v>0.7010309278350515</v>
      </c>
      <c r="E39">
        <f>5/(Activity_Counts!C39+Activity_Counts!J39+5)</f>
        <v>5.1546391752577317E-2</v>
      </c>
      <c r="F39">
        <f t="shared" si="0"/>
        <v>1</v>
      </c>
    </row>
    <row r="40" spans="1:6" x14ac:dyDescent="0.2">
      <c r="A40" t="s">
        <v>35</v>
      </c>
      <c r="B40" t="s">
        <v>31</v>
      </c>
      <c r="C40">
        <f>Activity_Counts!C40/(Activity_Counts!C40+Activity_Counts!J40+5)</f>
        <v>0.28235294117647058</v>
      </c>
      <c r="D40">
        <f>Activity_Counts!J40/(Activity_Counts!C40+Activity_Counts!J40+5)</f>
        <v>0.6588235294117647</v>
      </c>
      <c r="E40">
        <f>5/(Activity_Counts!C40+Activity_Counts!J40+5)</f>
        <v>5.8823529411764705E-2</v>
      </c>
      <c r="F40">
        <f t="shared" si="0"/>
        <v>1</v>
      </c>
    </row>
    <row r="41" spans="1:6" x14ac:dyDescent="0.2">
      <c r="A41" t="s">
        <v>36</v>
      </c>
      <c r="B41" t="s">
        <v>30</v>
      </c>
      <c r="C41">
        <f>Activity_Counts!C41/(Activity_Counts!C41+Activity_Counts!J41+5)</f>
        <v>0.23529411764705882</v>
      </c>
      <c r="D41">
        <f>Activity_Counts!J41/(Activity_Counts!C41+Activity_Counts!J41+5)</f>
        <v>0.71568627450980393</v>
      </c>
      <c r="E41">
        <f>5/(Activity_Counts!C41+Activity_Counts!J41+5)</f>
        <v>4.9019607843137254E-2</v>
      </c>
      <c r="F41">
        <f t="shared" si="0"/>
        <v>1</v>
      </c>
    </row>
    <row r="42" spans="1:6" x14ac:dyDescent="0.2">
      <c r="A42" t="s">
        <v>36</v>
      </c>
      <c r="B42" t="s">
        <v>31</v>
      </c>
      <c r="C42">
        <f>Activity_Counts!C42/(Activity_Counts!C42+Activity_Counts!J42+5)</f>
        <v>0.25263157894736843</v>
      </c>
      <c r="D42">
        <f>Activity_Counts!J42/(Activity_Counts!C42+Activity_Counts!J42+5)</f>
        <v>0.69473684210526321</v>
      </c>
      <c r="E42">
        <f>5/(Activity_Counts!C42+Activity_Counts!J42+5)</f>
        <v>5.2631578947368418E-2</v>
      </c>
      <c r="F42">
        <f t="shared" si="0"/>
        <v>1</v>
      </c>
    </row>
    <row r="43" spans="1:6" x14ac:dyDescent="0.2">
      <c r="A43" t="s">
        <v>37</v>
      </c>
      <c r="B43" t="s">
        <v>30</v>
      </c>
      <c r="C43">
        <f>Activity_Counts!C43/(Activity_Counts!C43+Activity_Counts!J43+5)</f>
        <v>2.5000000000000001E-2</v>
      </c>
      <c r="D43">
        <f>Activity_Counts!J43/(Activity_Counts!C43+Activity_Counts!J43+5)</f>
        <v>0.91249999999999998</v>
      </c>
      <c r="E43">
        <f>5/(Activity_Counts!C43+Activity_Counts!J43+5)</f>
        <v>6.25E-2</v>
      </c>
      <c r="F43">
        <f t="shared" si="0"/>
        <v>1</v>
      </c>
    </row>
    <row r="44" spans="1:6" x14ac:dyDescent="0.2">
      <c r="A44" t="s">
        <v>37</v>
      </c>
      <c r="B44" t="s">
        <v>31</v>
      </c>
      <c r="C44">
        <f>Activity_Counts!C44/(Activity_Counts!C44+Activity_Counts!J44+5)</f>
        <v>2.5316455696202531E-2</v>
      </c>
      <c r="D44">
        <f>Activity_Counts!J44/(Activity_Counts!C44+Activity_Counts!J44+5)</f>
        <v>0.91139240506329111</v>
      </c>
      <c r="E44">
        <f>5/(Activity_Counts!C44+Activity_Counts!J44+5)</f>
        <v>6.3291139240506333E-2</v>
      </c>
      <c r="F44">
        <f t="shared" si="0"/>
        <v>1</v>
      </c>
    </row>
    <row r="45" spans="1:6" x14ac:dyDescent="0.2">
      <c r="A45" t="s">
        <v>38</v>
      </c>
      <c r="B45" t="s">
        <v>30</v>
      </c>
      <c r="C45">
        <f>Activity_Counts!C45/(Activity_Counts!C45+Activity_Counts!J45+5)</f>
        <v>2.4096385542168676E-2</v>
      </c>
      <c r="D45">
        <f>Activity_Counts!J45/(Activity_Counts!C45+Activity_Counts!J45+5)</f>
        <v>0.91566265060240959</v>
      </c>
      <c r="E45">
        <f>5/(Activity_Counts!C45+Activity_Counts!J45+5)</f>
        <v>6.0240963855421686E-2</v>
      </c>
      <c r="F45">
        <f t="shared" si="0"/>
        <v>0.99999999999999989</v>
      </c>
    </row>
    <row r="46" spans="1:6" x14ac:dyDescent="0.2">
      <c r="A46" t="s">
        <v>38</v>
      </c>
      <c r="B46" t="s">
        <v>31</v>
      </c>
      <c r="C46">
        <f>Activity_Counts!C46/(Activity_Counts!C46+Activity_Counts!J46+5)</f>
        <v>2.4096385542168676E-2</v>
      </c>
      <c r="D46">
        <f>Activity_Counts!J46/(Activity_Counts!C46+Activity_Counts!J46+5)</f>
        <v>0.91566265060240959</v>
      </c>
      <c r="E46">
        <f>5/(Activity_Counts!C46+Activity_Counts!J46+5)</f>
        <v>6.0240963855421686E-2</v>
      </c>
      <c r="F46">
        <f t="shared" si="0"/>
        <v>0.99999999999999989</v>
      </c>
    </row>
    <row r="47" spans="1:6" x14ac:dyDescent="0.2">
      <c r="A47" t="s">
        <v>39</v>
      </c>
      <c r="B47" t="s">
        <v>30</v>
      </c>
      <c r="C47">
        <f>Activity_Counts!C47/(Activity_Counts!C47+Activity_Counts!J47+5)</f>
        <v>9.8039215686274508E-3</v>
      </c>
      <c r="D47">
        <f>Activity_Counts!J47/(Activity_Counts!C47+Activity_Counts!J47+5)</f>
        <v>0.94117647058823528</v>
      </c>
      <c r="E47">
        <f>5/(Activity_Counts!C47+Activity_Counts!J47+5)</f>
        <v>4.9019607843137254E-2</v>
      </c>
      <c r="F47">
        <f t="shared" si="0"/>
        <v>1</v>
      </c>
    </row>
    <row r="48" spans="1:6" x14ac:dyDescent="0.2">
      <c r="A48" t="s">
        <v>39</v>
      </c>
      <c r="B48" t="s">
        <v>31</v>
      </c>
      <c r="C48">
        <f>Activity_Counts!C48/(Activity_Counts!C48+Activity_Counts!J48+5)</f>
        <v>9.8039215686274508E-3</v>
      </c>
      <c r="D48">
        <f>Activity_Counts!J48/(Activity_Counts!C48+Activity_Counts!J48+5)</f>
        <v>0.94117647058823528</v>
      </c>
      <c r="E48">
        <f>5/(Activity_Counts!C48+Activity_Counts!J48+5)</f>
        <v>4.9019607843137254E-2</v>
      </c>
      <c r="F48">
        <f t="shared" si="0"/>
        <v>1</v>
      </c>
    </row>
    <row r="49" spans="1:6" x14ac:dyDescent="0.2">
      <c r="A49" t="s">
        <v>40</v>
      </c>
      <c r="B49" t="s">
        <v>30</v>
      </c>
      <c r="C49">
        <f>Activity_Counts!C49/(Activity_Counts!C49+Activity_Counts!J49+5)</f>
        <v>1.7543859649122806E-2</v>
      </c>
      <c r="D49">
        <f>Activity_Counts!J49/(Activity_Counts!C49+Activity_Counts!J49+5)</f>
        <v>0.89473684210526316</v>
      </c>
      <c r="E49">
        <f>5/(Activity_Counts!C49+Activity_Counts!J49+5)</f>
        <v>8.771929824561403E-2</v>
      </c>
      <c r="F49">
        <f t="shared" si="0"/>
        <v>1</v>
      </c>
    </row>
    <row r="50" spans="1:6" x14ac:dyDescent="0.2">
      <c r="A50" t="s">
        <v>40</v>
      </c>
      <c r="B50" t="s">
        <v>31</v>
      </c>
      <c r="C50">
        <f>Activity_Counts!C50/(Activity_Counts!C50+Activity_Counts!J50+5)</f>
        <v>1.5384615384615385E-2</v>
      </c>
      <c r="D50">
        <f>Activity_Counts!J50/(Activity_Counts!C50+Activity_Counts!J50+5)</f>
        <v>0.90769230769230769</v>
      </c>
      <c r="E50">
        <f>5/(Activity_Counts!C50+Activity_Counts!J50+5)</f>
        <v>7.6923076923076927E-2</v>
      </c>
      <c r="F50">
        <f t="shared" si="0"/>
        <v>1</v>
      </c>
    </row>
    <row r="51" spans="1:6" x14ac:dyDescent="0.2">
      <c r="A51" t="s">
        <v>41</v>
      </c>
      <c r="B51" t="s">
        <v>30</v>
      </c>
      <c r="C51">
        <f>Activity_Counts!C51/(Activity_Counts!C51+Activity_Counts!J51+5)</f>
        <v>0.81481481481481477</v>
      </c>
      <c r="D51">
        <f>Activity_Counts!J51/(Activity_Counts!C51+Activity_Counts!J51+5)</f>
        <v>0</v>
      </c>
      <c r="E51">
        <f>5/(Activity_Counts!C51+Activity_Counts!J51+5)</f>
        <v>0.18518518518518517</v>
      </c>
      <c r="F51">
        <f t="shared" si="0"/>
        <v>1</v>
      </c>
    </row>
    <row r="52" spans="1:6" x14ac:dyDescent="0.2">
      <c r="A52" t="s">
        <v>41</v>
      </c>
      <c r="B52" t="s">
        <v>31</v>
      </c>
      <c r="C52">
        <f>Activity_Counts!C52/(Activity_Counts!C52+Activity_Counts!J52+5)</f>
        <v>0.73684210526315785</v>
      </c>
      <c r="D52">
        <f>Activity_Counts!J52/(Activity_Counts!C52+Activity_Counts!J52+5)</f>
        <v>0</v>
      </c>
      <c r="E52">
        <f>5/(Activity_Counts!C52+Activity_Counts!J52+5)</f>
        <v>0.26315789473684209</v>
      </c>
      <c r="F52">
        <f t="shared" si="0"/>
        <v>1</v>
      </c>
    </row>
    <row r="53" spans="1:6" x14ac:dyDescent="0.2">
      <c r="A53" t="s">
        <v>42</v>
      </c>
      <c r="B53" t="s">
        <v>43</v>
      </c>
      <c r="C53">
        <f>Activity_Counts!C53/(Activity_Counts!C53+Activity_Counts!J53+5)</f>
        <v>0.82758620689655171</v>
      </c>
      <c r="D53">
        <f>Activity_Counts!J53/(Activity_Counts!C53+Activity_Counts!J53+5)</f>
        <v>0</v>
      </c>
      <c r="E53">
        <f>5/(Activity_Counts!C53+Activity_Counts!J53+5)</f>
        <v>0.17241379310344829</v>
      </c>
      <c r="F53">
        <f t="shared" si="0"/>
        <v>1</v>
      </c>
    </row>
    <row r="54" spans="1:6" x14ac:dyDescent="0.2">
      <c r="A54" t="s">
        <v>42</v>
      </c>
      <c r="B54" t="s">
        <v>44</v>
      </c>
      <c r="C54">
        <f>Activity_Counts!C54/(Activity_Counts!C54+Activity_Counts!J54+5)</f>
        <v>0.82758620689655171</v>
      </c>
      <c r="D54">
        <f>Activity_Counts!J54/(Activity_Counts!C54+Activity_Counts!J54+5)</f>
        <v>0</v>
      </c>
      <c r="E54">
        <f>5/(Activity_Counts!C54+Activity_Counts!J54+5)</f>
        <v>0.17241379310344829</v>
      </c>
      <c r="F54">
        <f t="shared" si="0"/>
        <v>1</v>
      </c>
    </row>
    <row r="55" spans="1:6" x14ac:dyDescent="0.2">
      <c r="A55" t="s">
        <v>46</v>
      </c>
      <c r="B55" t="s">
        <v>30</v>
      </c>
      <c r="C55">
        <f>Activity_Counts!C55/(Activity_Counts!C55+Activity_Counts!J55+5)</f>
        <v>0</v>
      </c>
      <c r="D55">
        <f>Activity_Counts!J55/(Activity_Counts!C55+Activity_Counts!J55+5)</f>
        <v>0</v>
      </c>
      <c r="E55">
        <f>5/(Activity_Counts!C55+Activity_Counts!J55+5)</f>
        <v>1</v>
      </c>
      <c r="F55">
        <f t="shared" si="0"/>
        <v>1</v>
      </c>
    </row>
    <row r="56" spans="1:6" x14ac:dyDescent="0.2">
      <c r="A56" t="s">
        <v>47</v>
      </c>
      <c r="B56" t="s">
        <v>30</v>
      </c>
      <c r="C56">
        <f>Activity_Counts!C56/(Activity_Counts!C56+Activity_Counts!J56+5)</f>
        <v>0</v>
      </c>
      <c r="D56">
        <f>Activity_Counts!J56/(Activity_Counts!C56+Activity_Counts!J56+5)</f>
        <v>0</v>
      </c>
      <c r="E56">
        <f>5/(Activity_Counts!C56+Activity_Counts!J56+5)</f>
        <v>1</v>
      </c>
      <c r="F56">
        <f t="shared" si="0"/>
        <v>1</v>
      </c>
    </row>
    <row r="57" spans="1:6" x14ac:dyDescent="0.2">
      <c r="A57" t="s">
        <v>48</v>
      </c>
      <c r="B57" t="s">
        <v>31</v>
      </c>
      <c r="C57">
        <f>Activity_Counts!C57/(Activity_Counts!C57+Activity_Counts!J57+5)</f>
        <v>0</v>
      </c>
      <c r="D57">
        <f>Activity_Counts!J57/(Activity_Counts!C57+Activity_Counts!J57+5)</f>
        <v>0</v>
      </c>
      <c r="E57">
        <f>5/(Activity_Counts!C57+Activity_Counts!J57+5)</f>
        <v>1</v>
      </c>
      <c r="F57">
        <f t="shared" si="0"/>
        <v>1</v>
      </c>
    </row>
    <row r="58" spans="1:6" x14ac:dyDescent="0.2">
      <c r="A58" t="s">
        <v>48</v>
      </c>
      <c r="B58" t="s">
        <v>30</v>
      </c>
      <c r="C58">
        <f>Activity_Counts!C58/(Activity_Counts!C58+Activity_Counts!J58+5)</f>
        <v>0</v>
      </c>
      <c r="D58">
        <f>Activity_Counts!J58/(Activity_Counts!C58+Activity_Counts!J58+5)</f>
        <v>0</v>
      </c>
      <c r="E58">
        <f>5/(Activity_Counts!C58+Activity_Counts!J58+5)</f>
        <v>1</v>
      </c>
      <c r="F58">
        <f t="shared" si="0"/>
        <v>1</v>
      </c>
    </row>
    <row r="59" spans="1:6" x14ac:dyDescent="0.2">
      <c r="A59" t="s">
        <v>49</v>
      </c>
      <c r="B59" t="s">
        <v>20</v>
      </c>
      <c r="C59">
        <f>Activity_Counts!C59/(Activity_Counts!C59+Activity_Counts!J59+5)</f>
        <v>0</v>
      </c>
      <c r="D59">
        <f>Activity_Counts!J59/(Activity_Counts!C59+Activity_Counts!J59+5)</f>
        <v>0</v>
      </c>
      <c r="E59">
        <f>5/(Activity_Counts!C59+Activity_Counts!J59+5)</f>
        <v>1</v>
      </c>
      <c r="F59">
        <f t="shared" si="0"/>
        <v>1</v>
      </c>
    </row>
    <row r="60" spans="1:6" x14ac:dyDescent="0.2">
      <c r="A60" t="s">
        <v>49</v>
      </c>
      <c r="B60" t="s">
        <v>21</v>
      </c>
      <c r="C60">
        <f>Activity_Counts!C60/(Activity_Counts!C60+Activity_Counts!J60+5)</f>
        <v>0</v>
      </c>
      <c r="D60">
        <f>Activity_Counts!J60/(Activity_Counts!C60+Activity_Counts!J60+5)</f>
        <v>0</v>
      </c>
      <c r="E60">
        <f>5/(Activity_Counts!C60+Activity_Counts!J60+5)</f>
        <v>1</v>
      </c>
      <c r="F60">
        <f t="shared" si="0"/>
        <v>1</v>
      </c>
    </row>
    <row r="61" spans="1:6" x14ac:dyDescent="0.2">
      <c r="A61" t="s">
        <v>50</v>
      </c>
      <c r="B61" t="s">
        <v>31</v>
      </c>
      <c r="C61">
        <f>Activity_Counts!C61/(Activity_Counts!C61+Activity_Counts!J61+5)</f>
        <v>0</v>
      </c>
      <c r="D61">
        <f>Activity_Counts!J61/(Activity_Counts!C61+Activity_Counts!J61+5)</f>
        <v>0</v>
      </c>
      <c r="E61">
        <f>5/(Activity_Counts!C61+Activity_Counts!J61+5)</f>
        <v>1</v>
      </c>
      <c r="F61">
        <f t="shared" si="0"/>
        <v>1</v>
      </c>
    </row>
    <row r="62" spans="1:6" x14ac:dyDescent="0.2">
      <c r="A62" t="s">
        <v>50</v>
      </c>
      <c r="B62" t="s">
        <v>30</v>
      </c>
      <c r="C62">
        <f>Activity_Counts!C62/(Activity_Counts!C62+Activity_Counts!J62+5)</f>
        <v>0</v>
      </c>
      <c r="D62">
        <f>Activity_Counts!J62/(Activity_Counts!C62+Activity_Counts!J62+5)</f>
        <v>0</v>
      </c>
      <c r="E62">
        <f>5/(Activity_Counts!C62+Activity_Counts!J62+5)</f>
        <v>1</v>
      </c>
      <c r="F62">
        <f t="shared" si="0"/>
        <v>1</v>
      </c>
    </row>
    <row r="63" spans="1:6" x14ac:dyDescent="0.2">
      <c r="A63" t="s">
        <v>59</v>
      </c>
      <c r="B63" t="s">
        <v>60</v>
      </c>
      <c r="C63">
        <f>Activity_Counts!C63/(Activity_Counts!C63+Activity_Counts!J63+5)</f>
        <v>0</v>
      </c>
      <c r="D63">
        <f>Activity_Counts!J63/(Activity_Counts!C63+Activity_Counts!J63+5)</f>
        <v>0</v>
      </c>
      <c r="E63">
        <f>5/(Activity_Counts!C63+Activity_Counts!J63+5)</f>
        <v>1</v>
      </c>
      <c r="F63">
        <f t="shared" si="0"/>
        <v>1</v>
      </c>
    </row>
    <row r="64" spans="1:6" x14ac:dyDescent="0.2">
      <c r="A64" t="s">
        <v>59</v>
      </c>
      <c r="B64" t="s">
        <v>61</v>
      </c>
      <c r="C64">
        <f>Activity_Counts!C64/(Activity_Counts!C64+Activity_Counts!J64+5)</f>
        <v>0</v>
      </c>
      <c r="D64">
        <f>Activity_Counts!J64/(Activity_Counts!C64+Activity_Counts!J64+5)</f>
        <v>0</v>
      </c>
      <c r="E64">
        <f>5/(Activity_Counts!C64+Activity_Counts!J64+5)</f>
        <v>1</v>
      </c>
      <c r="F64">
        <f t="shared" ref="F64:F67" si="1">SUM(C64:E64)</f>
        <v>1</v>
      </c>
    </row>
    <row r="65" spans="1:6" x14ac:dyDescent="0.2">
      <c r="A65" t="s">
        <v>59</v>
      </c>
      <c r="B65" t="s">
        <v>62</v>
      </c>
      <c r="C65">
        <f>Activity_Counts!C65/(Activity_Counts!C65+Activity_Counts!J65+5)</f>
        <v>0</v>
      </c>
      <c r="D65">
        <f>Activity_Counts!J65/(Activity_Counts!C65+Activity_Counts!J65+5)</f>
        <v>0</v>
      </c>
      <c r="E65">
        <f>5/(Activity_Counts!C65+Activity_Counts!J65+5)</f>
        <v>1</v>
      </c>
      <c r="F65">
        <f t="shared" si="1"/>
        <v>1</v>
      </c>
    </row>
    <row r="66" spans="1:6" x14ac:dyDescent="0.2">
      <c r="A66" t="s">
        <v>59</v>
      </c>
      <c r="B66" t="s">
        <v>63</v>
      </c>
      <c r="C66">
        <f>Activity_Counts!C66/(Activity_Counts!C66+Activity_Counts!J66+5)</f>
        <v>0</v>
      </c>
      <c r="D66">
        <f>Activity_Counts!J66/(Activity_Counts!C66+Activity_Counts!J66+5)</f>
        <v>0</v>
      </c>
      <c r="E66">
        <f>5/(Activity_Counts!C66+Activity_Counts!J66+5)</f>
        <v>1</v>
      </c>
      <c r="F66">
        <f t="shared" si="1"/>
        <v>1</v>
      </c>
    </row>
    <row r="67" spans="1:6" x14ac:dyDescent="0.2">
      <c r="A67" t="s">
        <v>59</v>
      </c>
      <c r="B67" t="s">
        <v>64</v>
      </c>
      <c r="C67">
        <f>Activity_Counts!C67/(Activity_Counts!C67+Activity_Counts!J67+5)</f>
        <v>0</v>
      </c>
      <c r="D67">
        <f>Activity_Counts!J67/(Activity_Counts!C67+Activity_Counts!J67+5)</f>
        <v>0</v>
      </c>
      <c r="E67">
        <f>5/(Activity_Counts!C67+Activity_Counts!J67+5)</f>
        <v>1</v>
      </c>
      <c r="F67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Activity_Counts</vt:lpstr>
      <vt:lpstr>t5-sensor-belief-values</vt:lpstr>
      <vt:lpstr>t4-sensor-belief-values</vt:lpstr>
      <vt:lpstr>t3-sensor-belief-values</vt:lpstr>
      <vt:lpstr>t2-sensor-belief-values</vt:lpstr>
      <vt:lpstr>t1-sensor-belief-values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McDowell</dc:creator>
  <cp:lastModifiedBy>Alison McDowell</cp:lastModifiedBy>
  <dcterms:created xsi:type="dcterms:W3CDTF">2026-02-23T17:26:48Z</dcterms:created>
  <dcterms:modified xsi:type="dcterms:W3CDTF">2026-03-06T14:28:50Z</dcterms:modified>
</cp:coreProperties>
</file>